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ronavirus Extrapola" sheetId="1" r:id="rId4"/>
  </sheets>
</workbook>
</file>

<file path=xl/sharedStrings.xml><?xml version="1.0" encoding="utf-8"?>
<sst xmlns="http://schemas.openxmlformats.org/spreadsheetml/2006/main" uniqueCount="14">
  <si>
    <t>Coronavirus Extrapolations</t>
  </si>
  <si>
    <t>Date</t>
  </si>
  <si>
    <t>New Deaths</t>
  </si>
  <si>
    <t>New Inferred Cases</t>
  </si>
  <si>
    <t>New Confirmed Cases</t>
  </si>
  <si>
    <t>New Inferred/New Confirmed</t>
  </si>
  <si>
    <t>Tests per Case</t>
  </si>
  <si>
    <t>Weekly R (Past 3 Weeks)</t>
  </si>
  <si>
    <t>Weekly R (One Week)</t>
  </si>
  <si>
    <t>Deaths</t>
  </si>
  <si>
    <t>Inferred Cases: Deaths Lagged 3</t>
  </si>
  <si>
    <t>Confirmed Cases</t>
  </si>
  <si>
    <t>Inferred Cases/Confirmed Cases</t>
  </si>
  <si>
    <r>
      <rPr>
        <u val="single"/>
        <sz val="10"/>
        <color indexed="22"/>
        <rFont val="Helvetica Neue"/>
      </rPr>
      <t>https://www.icloud.com/numbers/0padta9WRXNKrK-CmBCgoWKpA</t>
    </r>
  </si>
</sst>
</file>

<file path=xl/styles.xml><?xml version="1.0" encoding="utf-8"?>
<styleSheet xmlns="http://schemas.openxmlformats.org/spreadsheetml/2006/main">
  <numFmts count="7">
    <numFmt numFmtId="0" formatCode="General"/>
    <numFmt numFmtId="59" formatCode="0.000000"/>
    <numFmt numFmtId="60" formatCode="yyyy-mm-dd"/>
    <numFmt numFmtId="61" formatCode="#,##0.0"/>
    <numFmt numFmtId="62" formatCode="#,##0.000000"/>
    <numFmt numFmtId="63" formatCode="0.0"/>
    <numFmt numFmtId="64" formatCode="mmmm d"/>
  </numFmts>
  <fonts count="13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36"/>
      <color indexed="8"/>
      <name val="Helvetica Neue"/>
    </font>
    <font>
      <b val="1"/>
      <sz val="10"/>
      <color indexed="8"/>
      <name val="Helvetica Neue"/>
    </font>
    <font>
      <sz val="10"/>
      <color indexed="16"/>
      <name val="Helvetica Neue"/>
    </font>
    <font>
      <sz val="10"/>
      <color indexed="17"/>
      <name val="Helvetica Neue"/>
    </font>
    <font>
      <sz val="10"/>
      <color indexed="20"/>
      <name val="Helvetica Neue"/>
    </font>
    <font>
      <sz val="10"/>
      <color indexed="21"/>
      <name val="Helvetica Neue"/>
    </font>
    <font>
      <u val="single"/>
      <sz val="10"/>
      <color indexed="22"/>
      <name val="Helvetica Neue"/>
    </font>
    <font>
      <sz val="18"/>
      <color indexed="8"/>
      <name val="Helvetica Neue"/>
    </font>
    <font>
      <b val="1"/>
      <sz val="21"/>
      <color indexed="8"/>
      <name val="Helvetica Neue"/>
    </font>
    <font>
      <sz val="11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9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8"/>
      </right>
      <top style="thin">
        <color indexed="13"/>
      </top>
      <bottom style="thin">
        <color indexed="13"/>
      </bottom>
      <diagonal/>
    </border>
    <border>
      <left style="thin">
        <color indexed="18"/>
      </left>
      <right style="thin">
        <color indexed="18"/>
      </right>
      <top style="thin">
        <color indexed="14"/>
      </top>
      <bottom style="thin">
        <color indexed="14"/>
      </bottom>
      <diagonal/>
    </border>
    <border>
      <left style="thin">
        <color indexed="18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8"/>
      </right>
      <top style="thin">
        <color indexed="13"/>
      </top>
      <bottom style="thin">
        <color indexed="11"/>
      </bottom>
      <diagonal/>
    </border>
    <border>
      <left style="thin">
        <color indexed="18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8"/>
      </right>
      <top style="thin">
        <color indexed="11"/>
      </top>
      <bottom style="thin">
        <color indexed="11"/>
      </bottom>
      <diagonal/>
    </border>
    <border>
      <left style="thin">
        <color indexed="1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8"/>
      </left>
      <right style="thin">
        <color indexed="18"/>
      </right>
      <top style="thin">
        <color indexed="14"/>
      </top>
      <bottom style="thin">
        <color indexed="11"/>
      </bottom>
      <diagonal/>
    </border>
    <border>
      <left style="thin">
        <color indexed="18"/>
      </left>
      <right style="thin">
        <color indexed="18"/>
      </right>
      <top style="thin">
        <color indexed="11"/>
      </top>
      <bottom style="thin">
        <color indexed="11"/>
      </bottom>
      <diagonal/>
    </border>
    <border>
      <left style="thin">
        <color indexed="18"/>
      </left>
      <right style="thin">
        <color indexed="18"/>
      </right>
      <top style="thin">
        <color indexed="11"/>
      </top>
      <bottom style="thin">
        <color indexed="18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horizontal="left" vertical="center"/>
    </xf>
    <xf numFmtId="59" fontId="3" fillId="2" borderId="2" applyNumberFormat="1" applyFont="1" applyFill="1" applyBorder="1" applyAlignment="1" applyProtection="0">
      <alignment horizontal="left" vertical="center"/>
    </xf>
    <xf numFmtId="59" fontId="3" fillId="2" borderId="3" applyNumberFormat="1" applyFont="1" applyFill="1" applyBorder="1" applyAlignment="1" applyProtection="0">
      <alignment horizontal="left" vertical="center"/>
    </xf>
    <xf numFmtId="49" fontId="4" fillId="3" borderId="4" applyNumberFormat="1" applyFont="1" applyFill="1" applyBorder="1" applyAlignment="1" applyProtection="0">
      <alignment horizontal="center" vertical="top" wrapText="1"/>
    </xf>
    <xf numFmtId="49" fontId="4" fillId="3" borderId="5" applyNumberFormat="1" applyFont="1" applyFill="1" applyBorder="1" applyAlignment="1" applyProtection="0">
      <alignment horizontal="center" vertical="top" wrapText="1"/>
    </xf>
    <xf numFmtId="0" fontId="4" fillId="3" borderId="4" applyNumberFormat="0" applyFont="1" applyFill="1" applyBorder="1" applyAlignment="1" applyProtection="0">
      <alignment horizontal="center" vertical="top" wrapText="1"/>
    </xf>
    <xf numFmtId="49" fontId="4" fillId="3" borderId="6" applyNumberFormat="1" applyFont="1" applyFill="1" applyBorder="1" applyAlignment="1" applyProtection="0">
      <alignment horizontal="center" vertical="top" wrapText="1"/>
    </xf>
    <xf numFmtId="59" fontId="4" fillId="3" borderId="5" applyNumberFormat="1" applyFont="1" applyFill="1" applyBorder="1" applyAlignment="1" applyProtection="0">
      <alignment horizontal="center" vertical="top" wrapText="1"/>
    </xf>
    <xf numFmtId="60" fontId="4" fillId="4" borderId="7" applyNumberFormat="1" applyFont="1" applyFill="1" applyBorder="1" applyAlignment="1" applyProtection="0">
      <alignment vertical="top" wrapText="1"/>
    </xf>
    <xf numFmtId="3" fontId="5" fillId="2" borderId="8" applyNumberFormat="1" applyFont="1" applyFill="1" applyBorder="1" applyAlignment="1" applyProtection="0">
      <alignment vertical="top" wrapText="1"/>
    </xf>
    <xf numFmtId="3" fontId="5" fillId="2" borderId="5" applyNumberFormat="1" applyFont="1" applyFill="1" applyBorder="1" applyAlignment="1" applyProtection="0">
      <alignment vertical="top" wrapText="1"/>
    </xf>
    <xf numFmtId="3" fontId="0" fillId="2" borderId="9" applyNumberFormat="1" applyFont="1" applyFill="1" applyBorder="1" applyAlignment="1" applyProtection="0">
      <alignment vertical="top" wrapText="1"/>
    </xf>
    <xf numFmtId="61" fontId="5" fillId="2" borderId="9" applyNumberFormat="1" applyFont="1" applyFill="1" applyBorder="1" applyAlignment="1" applyProtection="0">
      <alignment vertical="top" wrapText="1"/>
    </xf>
    <xf numFmtId="4" fontId="6" fillId="2" borderId="9" applyNumberFormat="1" applyFont="1" applyFill="1" applyBorder="1" applyAlignment="1" applyProtection="0">
      <alignment vertical="top" wrapText="1"/>
    </xf>
    <xf numFmtId="61" fontId="0" fillId="2" borderId="10" applyNumberFormat="1" applyFont="1" applyFill="1" applyBorder="1" applyAlignment="1" applyProtection="0">
      <alignment vertical="top" wrapText="1"/>
    </xf>
    <xf numFmtId="60" fontId="0" fillId="5" borderId="11" applyNumberFormat="1" applyFont="1" applyFill="1" applyBorder="1" applyAlignment="1" applyProtection="0">
      <alignment vertical="top" wrapText="1"/>
    </xf>
    <xf numFmtId="3" fontId="5" fillId="2" borderId="12" applyNumberFormat="1" applyFont="1" applyFill="1" applyBorder="1" applyAlignment="1" applyProtection="0">
      <alignment vertical="top" wrapText="1"/>
    </xf>
    <xf numFmtId="3" fontId="7" fillId="2" borderId="5" applyNumberFormat="1" applyFont="1" applyFill="1" applyBorder="1" applyAlignment="1" applyProtection="0">
      <alignment vertical="top" wrapText="1"/>
    </xf>
    <xf numFmtId="61" fontId="6" fillId="2" borderId="9" applyNumberFormat="1" applyFont="1" applyFill="1" applyBorder="1" applyAlignment="1" applyProtection="0">
      <alignment vertical="top" wrapText="1"/>
    </xf>
    <xf numFmtId="62" fontId="0" fillId="2" borderId="5" applyNumberFormat="1" applyFont="1" applyFill="1" applyBorder="1" applyAlignment="1" applyProtection="0">
      <alignment vertical="top" wrapText="1"/>
    </xf>
    <xf numFmtId="4" fontId="6" fillId="2" borderId="13" applyNumberFormat="1" applyFont="1" applyFill="1" applyBorder="1" applyAlignment="1" applyProtection="0">
      <alignment vertical="top" wrapText="1"/>
    </xf>
    <xf numFmtId="3" fontId="0" fillId="2" borderId="8" applyNumberFormat="1" applyFont="1" applyFill="1" applyBorder="1" applyAlignment="1" applyProtection="0">
      <alignment vertical="top" wrapText="1"/>
    </xf>
    <xf numFmtId="4" fontId="6" fillId="2" borderId="5" applyNumberFormat="1" applyFont="1" applyFill="1" applyBorder="1" applyAlignment="1" applyProtection="0">
      <alignment vertical="top" wrapText="1"/>
    </xf>
    <xf numFmtId="3" fontId="0" fillId="2" borderId="12" applyNumberFormat="1" applyFont="1" applyFill="1" applyBorder="1" applyAlignment="1" applyProtection="0">
      <alignment vertical="top" wrapText="1"/>
    </xf>
    <xf numFmtId="61" fontId="5" fillId="2" borderId="13" applyNumberFormat="1" applyFont="1" applyFill="1" applyBorder="1" applyAlignment="1" applyProtection="0">
      <alignment vertical="top" wrapText="1"/>
    </xf>
    <xf numFmtId="3" fontId="0" fillId="2" borderId="5" applyNumberFormat="1" applyFont="1" applyFill="1" applyBorder="1" applyAlignment="1" applyProtection="0">
      <alignment vertical="top" wrapText="1"/>
    </xf>
    <xf numFmtId="61" fontId="0" fillId="2" borderId="5" applyNumberFormat="1" applyFont="1" applyFill="1" applyBorder="1" applyAlignment="1" applyProtection="0">
      <alignment vertical="top" wrapText="1"/>
    </xf>
    <xf numFmtId="4" fontId="0" fillId="2" borderId="9" applyNumberFormat="1" applyFont="1" applyFill="1" applyBorder="1" applyAlignment="1" applyProtection="0">
      <alignment vertical="top" wrapText="1"/>
    </xf>
    <xf numFmtId="4" fontId="0" fillId="2" borderId="5" applyNumberFormat="1" applyFont="1" applyFill="1" applyBorder="1" applyAlignment="1" applyProtection="0">
      <alignment vertical="top" wrapText="1"/>
    </xf>
    <xf numFmtId="61" fontId="0" fillId="2" borderId="9" applyNumberFormat="1" applyFont="1" applyFill="1" applyBorder="1" applyAlignment="1" applyProtection="0">
      <alignment vertical="top" wrapText="1"/>
    </xf>
    <xf numFmtId="4" fontId="0" fillId="2" borderId="13" applyNumberFormat="1" applyFont="1" applyFill="1" applyBorder="1" applyAlignment="1" applyProtection="0">
      <alignment vertical="top" wrapText="1"/>
    </xf>
    <xf numFmtId="61" fontId="0" fillId="2" borderId="13" applyNumberFormat="1" applyFont="1" applyFill="1" applyBorder="1" applyAlignment="1" applyProtection="0">
      <alignment vertical="top" wrapText="1"/>
    </xf>
    <xf numFmtId="61" fontId="6" fillId="2" borderId="13" applyNumberFormat="1" applyFont="1" applyFill="1" applyBorder="1" applyAlignment="1" applyProtection="0">
      <alignment vertical="top" wrapText="1"/>
    </xf>
    <xf numFmtId="60" fontId="4" fillId="4" borderId="14" applyNumberFormat="1" applyFont="1" applyFill="1" applyBorder="1" applyAlignment="1" applyProtection="0">
      <alignment vertical="top" wrapText="1"/>
    </xf>
    <xf numFmtId="60" fontId="4" fillId="4" borderId="15" applyNumberFormat="1" applyFont="1" applyFill="1" applyBorder="1" applyAlignment="1" applyProtection="0">
      <alignment vertical="top" wrapText="1"/>
    </xf>
    <xf numFmtId="61" fontId="8" fillId="2" borderId="10" applyNumberFormat="1" applyFont="1" applyFill="1" applyBorder="1" applyAlignment="1" applyProtection="0">
      <alignment vertical="top" wrapText="1"/>
    </xf>
    <xf numFmtId="60" fontId="4" fillId="5" borderId="11" applyNumberFormat="1" applyFont="1" applyFill="1" applyBorder="1" applyAlignment="1" applyProtection="0">
      <alignment vertical="top" wrapText="1"/>
    </xf>
    <xf numFmtId="60" fontId="4" fillId="4" borderId="16" applyNumberFormat="1" applyFont="1" applyFill="1" applyBorder="1" applyAlignment="1" applyProtection="0">
      <alignment vertical="top" wrapText="1"/>
    </xf>
    <xf numFmtId="3" fontId="0" fillId="2" borderId="17" applyNumberFormat="1" applyFont="1" applyFill="1" applyBorder="1" applyAlignment="1" applyProtection="0">
      <alignment vertical="top" wrapText="1"/>
    </xf>
    <xf numFmtId="3" fontId="0" fillId="2" borderId="13" applyNumberFormat="1" applyFont="1" applyFill="1" applyBorder="1" applyAlignment="1" applyProtection="0">
      <alignment vertical="top" wrapText="1"/>
    </xf>
    <xf numFmtId="61" fontId="8" fillId="2" borderId="18" applyNumberFormat="1" applyFont="1" applyFill="1" applyBorder="1" applyAlignment="1" applyProtection="0">
      <alignment vertical="top" wrapText="1"/>
    </xf>
    <xf numFmtId="3" fontId="0" fillId="2" borderId="19" applyNumberFormat="1" applyFont="1" applyFill="1" applyBorder="1" applyAlignment="1" applyProtection="0">
      <alignment vertical="top" wrapText="1"/>
    </xf>
    <xf numFmtId="3" fontId="0" fillId="2" borderId="20" applyNumberFormat="1" applyFont="1" applyFill="1" applyBorder="1" applyAlignment="1" applyProtection="0">
      <alignment vertical="top" wrapText="1"/>
    </xf>
    <xf numFmtId="61" fontId="8" fillId="2" borderId="21" applyNumberFormat="1" applyFont="1" applyFill="1" applyBorder="1" applyAlignment="1" applyProtection="0">
      <alignment vertical="top" wrapText="1"/>
    </xf>
    <xf numFmtId="3" fontId="0" fillId="2" borderId="22" applyNumberFormat="1" applyFont="1" applyFill="1" applyBorder="1" applyAlignment="1" applyProtection="0">
      <alignment vertical="top" wrapText="1"/>
    </xf>
    <xf numFmtId="60" fontId="4" fillId="5" borderId="23" applyNumberFormat="1" applyFont="1" applyFill="1" applyBorder="1" applyAlignment="1" applyProtection="0">
      <alignment vertical="top" wrapText="1"/>
    </xf>
    <xf numFmtId="60" fontId="4" fillId="5" borderId="24" applyNumberFormat="1" applyFont="1" applyFill="1" applyBorder="1" applyAlignment="1" applyProtection="0">
      <alignment vertical="top" wrapText="1"/>
    </xf>
    <xf numFmtId="61" fontId="0" fillId="2" borderId="21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vertical="top" wrapText="1"/>
    </xf>
    <xf numFmtId="0" fontId="4" fillId="4" borderId="16" applyNumberFormat="0" applyFont="1" applyFill="1" applyBorder="1" applyAlignment="1" applyProtection="0">
      <alignment vertical="top" wrapText="1"/>
    </xf>
    <xf numFmtId="1" fontId="0" fillId="2" borderId="20" applyNumberFormat="1" applyFont="1" applyFill="1" applyBorder="1" applyAlignment="1" applyProtection="0">
      <alignment vertical="top" wrapText="1"/>
    </xf>
    <xf numFmtId="0" fontId="4" fillId="5" borderId="24" applyNumberFormat="0" applyFont="1" applyFill="1" applyBorder="1" applyAlignment="1" applyProtection="0">
      <alignment vertical="top" wrapText="1"/>
    </xf>
    <xf numFmtId="3" fontId="0" fillId="2" borderId="22" applyNumberFormat="1" applyFont="1" applyFill="1" applyBorder="1" applyAlignment="1" applyProtection="0">
      <alignment vertical="top"/>
    </xf>
    <xf numFmtId="49" fontId="0" fillId="2" borderId="20" applyNumberFormat="1" applyFont="1" applyFill="1" applyBorder="1" applyAlignment="1" applyProtection="0">
      <alignment vertical="top"/>
    </xf>
    <xf numFmtId="63" fontId="0" fillId="2" borderId="5" applyNumberFormat="1" applyFont="1" applyFill="1" applyBorder="1" applyAlignment="1" applyProtection="0">
      <alignment vertical="top" wrapText="1"/>
    </xf>
    <xf numFmtId="2" fontId="0" fillId="2" borderId="5" applyNumberFormat="1" applyFont="1" applyFill="1" applyBorder="1" applyAlignment="1" applyProtection="0">
      <alignment vertical="top" wrapText="1"/>
    </xf>
    <xf numFmtId="63" fontId="0" fillId="2" borderId="21" applyNumberFormat="1" applyFont="1" applyFill="1" applyBorder="1" applyAlignment="1" applyProtection="0">
      <alignment vertical="top" wrapText="1"/>
    </xf>
    <xf numFmtId="0" fontId="4" fillId="5" borderId="25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59" fontId="0" fillId="2" borderId="5" applyNumberFormat="1" applyFont="1" applyFill="1" applyBorder="1" applyAlignment="1" applyProtection="0">
      <alignment vertical="top" wrapText="1"/>
    </xf>
    <xf numFmtId="49" fontId="0" fillId="2" borderId="26" applyNumberFormat="1" applyFont="1" applyFill="1" applyBorder="1" applyAlignment="1" applyProtection="0">
      <alignment vertical="top"/>
    </xf>
    <xf numFmtId="0" fontId="4" fillId="5" borderId="2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fdfdf"/>
      <rgbColor rgb="ffdbdbdb"/>
      <rgbColor rgb="fff38731"/>
      <rgbColor rgb="fff27100"/>
      <rgbColor rgb="fff0f0f0"/>
      <rgbColor rgb="ffd5d5d5"/>
      <rgbColor rgb="ffff644e"/>
      <rgbColor rgb="ffd69500"/>
      <rgbColor rgb="ff0000ff"/>
      <rgbColor rgb="ff878787"/>
      <rgbColor rgb="ff009ef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2100" u="none">
                <a:solidFill>
                  <a:srgbClr val="000000"/>
                </a:solidFill>
                <a:latin typeface="Helvetica Neue"/>
              </a:defRPr>
            </a:pPr>
            <a:r>
              <a:rPr b="1" i="0" strike="noStrike" sz="2100" u="none">
                <a:solidFill>
                  <a:srgbClr val="000000"/>
                </a:solidFill>
                <a:latin typeface="Helvetica Neue"/>
              </a:rPr>
              <a:t>Weekly New Coronavirus Deaths</a:t>
            </a:r>
          </a:p>
        </c:rich>
      </c:tx>
      <c:layout>
        <c:manualLayout>
          <c:xMode val="edge"/>
          <c:yMode val="edge"/>
          <c:x val="0.174297"/>
          <c:y val="0"/>
          <c:w val="0.651407"/>
          <c:h val="0.0883834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04809"/>
          <c:y val="0.0883834"/>
          <c:w val="0.890191"/>
          <c:h val="0.852301"/>
        </c:manualLayout>
      </c:layout>
      <c:scatterChart>
        <c:scatterStyle val="smoothMarker"/>
        <c:varyColors val="0"/>
        <c:ser>
          <c:idx val="0"/>
          <c:order val="0"/>
          <c:tx>
            <c:v>New Weekly Deaths</c:v>
          </c:tx>
          <c:spPr>
            <a:solidFill>
              <a:schemeClr val="accent1"/>
            </a:solidFill>
            <a:ln w="12700" cap="flat">
              <a:solidFill>
                <a:srgbClr val="009EF9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>
                <a:solidFill>
                  <a:srgbClr val="009EF9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Coronavirus Extrapola'!$A$10:$A$44</c:f>
              <c:numCache>
                <c:ptCount val="35"/>
                <c:pt idx="0">
                  <c:v>44126.000000</c:v>
                </c:pt>
                <c:pt idx="1">
                  <c:v>44119.000000</c:v>
                </c:pt>
                <c:pt idx="2">
                  <c:v>44112.000000</c:v>
                </c:pt>
                <c:pt idx="3">
                  <c:v>44105.000000</c:v>
                </c:pt>
                <c:pt idx="4">
                  <c:v>44098.000000</c:v>
                </c:pt>
                <c:pt idx="5">
                  <c:v>44091.000000</c:v>
                </c:pt>
                <c:pt idx="6">
                  <c:v>44084.000000</c:v>
                </c:pt>
                <c:pt idx="7">
                  <c:v>44077.000000</c:v>
                </c:pt>
                <c:pt idx="8">
                  <c:v>44070.000000</c:v>
                </c:pt>
                <c:pt idx="9">
                  <c:v>44063.000000</c:v>
                </c:pt>
                <c:pt idx="10">
                  <c:v>44056.000000</c:v>
                </c:pt>
                <c:pt idx="11">
                  <c:v>44049.000000</c:v>
                </c:pt>
                <c:pt idx="12">
                  <c:v>44042.000000</c:v>
                </c:pt>
                <c:pt idx="13">
                  <c:v>44035.000000</c:v>
                </c:pt>
                <c:pt idx="14">
                  <c:v>44028.000000</c:v>
                </c:pt>
                <c:pt idx="15">
                  <c:v>44021.000000</c:v>
                </c:pt>
                <c:pt idx="16">
                  <c:v>44014.000000</c:v>
                </c:pt>
                <c:pt idx="17">
                  <c:v>44007.000000</c:v>
                </c:pt>
                <c:pt idx="18">
                  <c:v>44000.000000</c:v>
                </c:pt>
                <c:pt idx="19">
                  <c:v>43993.000000</c:v>
                </c:pt>
                <c:pt idx="20">
                  <c:v>43986.000000</c:v>
                </c:pt>
                <c:pt idx="21">
                  <c:v>43979.000000</c:v>
                </c:pt>
                <c:pt idx="22">
                  <c:v>43972.000000</c:v>
                </c:pt>
                <c:pt idx="23">
                  <c:v>43965.000000</c:v>
                </c:pt>
                <c:pt idx="24">
                  <c:v>43958.000000</c:v>
                </c:pt>
                <c:pt idx="25">
                  <c:v>43951.000000</c:v>
                </c:pt>
                <c:pt idx="26">
                  <c:v>43944.000000</c:v>
                </c:pt>
                <c:pt idx="27">
                  <c:v>43937.000000</c:v>
                </c:pt>
                <c:pt idx="28">
                  <c:v>43930.000000</c:v>
                </c:pt>
                <c:pt idx="29">
                  <c:v>43923.000000</c:v>
                </c:pt>
                <c:pt idx="30">
                  <c:v>43916.000000</c:v>
                </c:pt>
                <c:pt idx="31">
                  <c:v>43909.000000</c:v>
                </c:pt>
                <c:pt idx="32">
                  <c:v>43902.000000</c:v>
                </c:pt>
                <c:pt idx="33">
                  <c:v>43895.000000</c:v>
                </c:pt>
                <c:pt idx="34">
                  <c:v>43888.000000</c:v>
                </c:pt>
              </c:numCache>
            </c:numRef>
          </c:xVal>
          <c:yVal>
            <c:numRef>
              <c:f>'Sheet 1 - Coronavirus Extrapola'!$B$10:$B$44</c:f>
              <c:numCache>
                <c:ptCount val="35"/>
                <c:pt idx="0">
                  <c:v>5658.000000</c:v>
                </c:pt>
                <c:pt idx="1">
                  <c:v>4981.000000</c:v>
                </c:pt>
                <c:pt idx="2">
                  <c:v>5080.000000</c:v>
                </c:pt>
                <c:pt idx="3">
                  <c:v>5112.000000</c:v>
                </c:pt>
                <c:pt idx="4">
                  <c:v>6050.000000</c:v>
                </c:pt>
                <c:pt idx="5">
                  <c:v>5200.000000</c:v>
                </c:pt>
                <c:pt idx="6">
                  <c:v>5200.000000</c:v>
                </c:pt>
                <c:pt idx="7">
                  <c:v>6300.000000</c:v>
                </c:pt>
                <c:pt idx="8">
                  <c:v>6800.000000</c:v>
                </c:pt>
                <c:pt idx="9">
                  <c:v>7600.000000</c:v>
                </c:pt>
                <c:pt idx="10">
                  <c:v>8400.000000</c:v>
                </c:pt>
                <c:pt idx="11">
                  <c:v>6800.000000</c:v>
                </c:pt>
                <c:pt idx="12">
                  <c:v>7800.000000</c:v>
                </c:pt>
                <c:pt idx="13">
                  <c:v>6300.000000</c:v>
                </c:pt>
                <c:pt idx="14">
                  <c:v>5300.000000</c:v>
                </c:pt>
                <c:pt idx="15">
                  <c:v>4300.000000</c:v>
                </c:pt>
                <c:pt idx="16">
                  <c:v>4523.000000</c:v>
                </c:pt>
                <c:pt idx="17">
                  <c:v>6177.000000</c:v>
                </c:pt>
                <c:pt idx="18">
                  <c:v>4766.000000</c:v>
                </c:pt>
                <c:pt idx="19">
                  <c:v>5861.000000</c:v>
                </c:pt>
                <c:pt idx="20">
                  <c:v>6573.000000</c:v>
                </c:pt>
                <c:pt idx="21">
                  <c:v>7246.000000</c:v>
                </c:pt>
                <c:pt idx="22">
                  <c:v>9354.000000</c:v>
                </c:pt>
                <c:pt idx="23">
                  <c:v>10072.000000</c:v>
                </c:pt>
                <c:pt idx="24">
                  <c:v>13072.000000</c:v>
                </c:pt>
                <c:pt idx="25">
                  <c:v>13620.000000</c:v>
                </c:pt>
                <c:pt idx="26">
                  <c:v>15619.000000</c:v>
                </c:pt>
                <c:pt idx="27">
                  <c:v>17905.000000</c:v>
                </c:pt>
                <c:pt idx="28">
                  <c:v>10624.000000</c:v>
                </c:pt>
                <c:pt idx="29">
                  <c:v>4792.000000</c:v>
                </c:pt>
                <c:pt idx="30">
                  <c:v>1090.000000</c:v>
                </c:pt>
                <c:pt idx="31">
                  <c:v>165.000000</c:v>
                </c:pt>
                <c:pt idx="32">
                  <c:v>29.000000</c:v>
                </c:pt>
                <c:pt idx="33">
                  <c:v>11.000000</c:v>
                </c:pt>
                <c:pt idx="34">
                  <c:v>1.000000</c:v>
                </c:pt>
              </c:numCache>
            </c:numRef>
          </c:yVal>
          <c:smooth val="1"/>
        </c:ser>
        <c:axId val="2094734552"/>
        <c:axId val="2094734553"/>
      </c:scatterChart>
      <c:valAx>
        <c:axId val="2094734552"/>
        <c:scaling>
          <c:orientation val="minMax"/>
          <c:max val="6.25882e+08"/>
          <c:min val="6.02208e+08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mmmm d" sourceLinked="0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4500"/>
        <c:minorUnit val="225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1" i="0" strike="noStrike" sz="2100" u="none">
                <a:solidFill>
                  <a:srgbClr val="000000"/>
                </a:solidFill>
                <a:latin typeface="Helvetica Neue"/>
              </a:defRPr>
            </a:pPr>
            <a:r>
              <a:rPr b="1" i="0" strike="noStrike" sz="2100" u="none">
                <a:solidFill>
                  <a:srgbClr val="000000"/>
                </a:solidFill>
                <a:latin typeface="Helvetica Neue"/>
              </a:rPr>
              <a:t>Inferred Weekly New Coronavirus Cases</a:t>
            </a:r>
          </a:p>
        </c:rich>
      </c:tx>
      <c:layout>
        <c:manualLayout>
          <c:xMode val="edge"/>
          <c:yMode val="edge"/>
          <c:x val="0.11141"/>
          <c:y val="0"/>
          <c:w val="0.77718"/>
          <c:h val="0.084771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33559"/>
          <c:y val="0.0847712"/>
          <c:w val="0.861441"/>
          <c:h val="0.855727"/>
        </c:manualLayout>
      </c:layout>
      <c:scatterChart>
        <c:scatterStyle val="smoothMarker"/>
        <c:varyColors val="0"/>
        <c:ser>
          <c:idx val="0"/>
          <c:order val="0"/>
          <c:tx>
            <c:v>New Weekly Cases</c:v>
          </c:tx>
          <c:spPr>
            <a:solidFill>
              <a:schemeClr val="accent1"/>
            </a:solidFill>
            <a:ln w="12700" cap="flat">
              <a:solidFill>
                <a:srgbClr val="009EF9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 cap="flat">
                <a:solidFill>
                  <a:srgbClr val="009EF9"/>
                </a:solidFill>
                <a:prstDash val="solid"/>
                <a:round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18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1 - Coronavirus Extrapola'!$A$10:$A$44</c:f>
              <c:numCache>
                <c:ptCount val="35"/>
                <c:pt idx="0">
                  <c:v>44126.000000</c:v>
                </c:pt>
                <c:pt idx="1">
                  <c:v>44119.000000</c:v>
                </c:pt>
                <c:pt idx="2">
                  <c:v>44112.000000</c:v>
                </c:pt>
                <c:pt idx="3">
                  <c:v>44105.000000</c:v>
                </c:pt>
                <c:pt idx="4">
                  <c:v>44098.000000</c:v>
                </c:pt>
                <c:pt idx="5">
                  <c:v>44091.000000</c:v>
                </c:pt>
                <c:pt idx="6">
                  <c:v>44084.000000</c:v>
                </c:pt>
                <c:pt idx="7">
                  <c:v>44077.000000</c:v>
                </c:pt>
                <c:pt idx="8">
                  <c:v>44070.000000</c:v>
                </c:pt>
                <c:pt idx="9">
                  <c:v>44063.000000</c:v>
                </c:pt>
                <c:pt idx="10">
                  <c:v>44056.000000</c:v>
                </c:pt>
                <c:pt idx="11">
                  <c:v>44049.000000</c:v>
                </c:pt>
                <c:pt idx="12">
                  <c:v>44042.000000</c:v>
                </c:pt>
                <c:pt idx="13">
                  <c:v>44035.000000</c:v>
                </c:pt>
                <c:pt idx="14">
                  <c:v>44028.000000</c:v>
                </c:pt>
                <c:pt idx="15">
                  <c:v>44021.000000</c:v>
                </c:pt>
                <c:pt idx="16">
                  <c:v>44014.000000</c:v>
                </c:pt>
                <c:pt idx="17">
                  <c:v>44007.000000</c:v>
                </c:pt>
                <c:pt idx="18">
                  <c:v>44000.000000</c:v>
                </c:pt>
                <c:pt idx="19">
                  <c:v>43993.000000</c:v>
                </c:pt>
                <c:pt idx="20">
                  <c:v>43986.000000</c:v>
                </c:pt>
                <c:pt idx="21">
                  <c:v>43979.000000</c:v>
                </c:pt>
                <c:pt idx="22">
                  <c:v>43972.000000</c:v>
                </c:pt>
                <c:pt idx="23">
                  <c:v>43965.000000</c:v>
                </c:pt>
                <c:pt idx="24">
                  <c:v>43958.000000</c:v>
                </c:pt>
                <c:pt idx="25">
                  <c:v>43951.000000</c:v>
                </c:pt>
                <c:pt idx="26">
                  <c:v>43944.000000</c:v>
                </c:pt>
                <c:pt idx="27">
                  <c:v>43937.000000</c:v>
                </c:pt>
                <c:pt idx="28">
                  <c:v>43930.000000</c:v>
                </c:pt>
                <c:pt idx="29">
                  <c:v>43923.000000</c:v>
                </c:pt>
                <c:pt idx="30">
                  <c:v>43916.000000</c:v>
                </c:pt>
                <c:pt idx="31">
                  <c:v>43909.000000</c:v>
                </c:pt>
                <c:pt idx="32">
                  <c:v>43902.000000</c:v>
                </c:pt>
                <c:pt idx="33">
                  <c:v>43895.000000</c:v>
                </c:pt>
                <c:pt idx="34">
                  <c:v>43888.000000</c:v>
                </c:pt>
              </c:numCache>
            </c:numRef>
          </c:xVal>
          <c:yVal>
            <c:numRef>
              <c:f>'Sheet 1 - Coronavirus Extrapola'!$C$10:$C$44</c:f>
              <c:numCache>
                <c:ptCount val="35"/>
                <c:pt idx="0">
                  <c:v>1130462.768046</c:v>
                </c:pt>
                <c:pt idx="1">
                  <c:v>1016447.887380</c:v>
                </c:pt>
                <c:pt idx="2">
                  <c:v>865006.632684</c:v>
                </c:pt>
                <c:pt idx="3">
                  <c:v>843558.678117</c:v>
                </c:pt>
                <c:pt idx="4">
                  <c:v>741725.197274</c:v>
                </c:pt>
                <c:pt idx="5">
                  <c:v>755370.476066</c:v>
                </c:pt>
                <c:pt idx="6">
                  <c:v>758808.360885</c:v>
                </c:pt>
                <c:pt idx="7">
                  <c:v>896173.975309</c:v>
                </c:pt>
                <c:pt idx="8">
                  <c:v>768347.363440</c:v>
                </c:pt>
                <c:pt idx="9">
                  <c:v>766058.485865</c:v>
                </c:pt>
                <c:pt idx="10">
                  <c:v>924803.373197</c:v>
                </c:pt>
                <c:pt idx="11">
                  <c:v>993951.889893</c:v>
                </c:pt>
                <c:pt idx="12">
                  <c:v>1105242.397574</c:v>
                </c:pt>
                <c:pt idx="13">
                  <c:v>1214179.828715</c:v>
                </c:pt>
                <c:pt idx="14">
                  <c:v>975810.352641</c:v>
                </c:pt>
                <c:pt idx="15">
                  <c:v>1109696.732933</c:v>
                </c:pt>
                <c:pt idx="16">
                  <c:v>887148.543447</c:v>
                </c:pt>
                <c:pt idx="17">
                  <c:v>737303.968118</c:v>
                </c:pt>
                <c:pt idx="18">
                  <c:v>589631.650076</c:v>
                </c:pt>
                <c:pt idx="19">
                  <c:v>609741.855359</c:v>
                </c:pt>
                <c:pt idx="20">
                  <c:v>816184.804257</c:v>
                </c:pt>
                <c:pt idx="21">
                  <c:v>615092.043835</c:v>
                </c:pt>
                <c:pt idx="22">
                  <c:v>735863.925310</c:v>
                </c:pt>
                <c:pt idx="23">
                  <c:v>799206.010101</c:v>
                </c:pt>
                <c:pt idx="24">
                  <c:v>848879.074228</c:v>
                </c:pt>
                <c:pt idx="25">
                  <c:v>1049852.547650</c:v>
                </c:pt>
                <c:pt idx="26">
                  <c:v>1076246.035543</c:v>
                </c:pt>
                <c:pt idx="27">
                  <c:v>1320829.126508</c:v>
                </c:pt>
                <c:pt idx="28">
                  <c:v>1291871.425771</c:v>
                </c:pt>
                <c:pt idx="29">
                  <c:v>1380004.097085</c:v>
                </c:pt>
                <c:pt idx="30">
                  <c:v>1461827.439235</c:v>
                </c:pt>
                <c:pt idx="31">
                  <c:v>794929.297197</c:v>
                </c:pt>
                <c:pt idx="32">
                  <c:v>325890.565108</c:v>
                </c:pt>
                <c:pt idx="33">
                  <c:v>66822.554742</c:v>
                </c:pt>
                <c:pt idx="34">
                  <c:v>9045.606073</c:v>
                </c:pt>
              </c:numCache>
            </c:numRef>
          </c:yVal>
          <c:smooth val="1"/>
        </c:ser>
        <c:axId val="2094734552"/>
        <c:axId val="2094734553"/>
      </c:scatterChart>
      <c:valAx>
        <c:axId val="2094734552"/>
        <c:scaling>
          <c:orientation val="minMax"/>
          <c:max val="6.25882e+08"/>
          <c:min val="6.02208e+08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mmmm d" sourceLinked="0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</c:val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#,##0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400000"/>
        <c:minorUnit val="2000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277405</xdr:colOff>
      <xdr:row>54</xdr:row>
      <xdr:rowOff>45087</xdr:rowOff>
    </xdr:from>
    <xdr:to>
      <xdr:col>7</xdr:col>
      <xdr:colOff>667117</xdr:colOff>
      <xdr:row>77</xdr:row>
      <xdr:rowOff>106483</xdr:rowOff>
    </xdr:to>
    <xdr:graphicFrame>
      <xdr:nvGraphicFramePr>
        <xdr:cNvPr id="2" name="Chart 2"/>
        <xdr:cNvGraphicFramePr/>
      </xdr:nvGraphicFramePr>
      <xdr:xfrm>
        <a:off x="277405" y="14954252"/>
        <a:ext cx="6384113" cy="587418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9</xdr:col>
      <xdr:colOff>324803</xdr:colOff>
      <xdr:row>54</xdr:row>
      <xdr:rowOff>31277</xdr:rowOff>
    </xdr:from>
    <xdr:to>
      <xdr:col>17</xdr:col>
      <xdr:colOff>278651</xdr:colOff>
      <xdr:row>77</xdr:row>
      <xdr:rowOff>69489</xdr:rowOff>
    </xdr:to>
    <xdr:graphicFrame>
      <xdr:nvGraphicFramePr>
        <xdr:cNvPr id="3" name="Chart 3"/>
        <xdr:cNvGraphicFramePr/>
      </xdr:nvGraphicFramePr>
      <xdr:xfrm>
        <a:off x="7551103" y="14940442"/>
        <a:ext cx="6595949" cy="585100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loud.com/numbers/0padta9WRXNKrK-CmBCgoWKpA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Q51"/>
  <sheetViews>
    <sheetView workbookViewId="0" showGridLines="0" defaultGridColor="1"/>
  </sheetViews>
  <sheetFormatPr defaultColWidth="16.3333" defaultRowHeight="19.9" customHeight="1" outlineLevelRow="0" outlineLevelCol="0"/>
  <cols>
    <col min="1" max="1" width="13.8516" style="1" customWidth="1"/>
    <col min="2" max="2" width="9.05469" style="1" customWidth="1"/>
    <col min="3" max="3" width="11.0391" style="1" customWidth="1"/>
    <col min="4" max="4" width="11.4141" style="1" customWidth="1"/>
    <col min="5" max="8" width="11.2422" style="1" customWidth="1"/>
    <col min="9" max="9" width="5" style="1" customWidth="1"/>
    <col min="10" max="10" width="13" style="1" customWidth="1"/>
    <col min="11" max="11" width="10.5" style="1" customWidth="1"/>
    <col min="12" max="12" width="11.8516" style="1" customWidth="1"/>
    <col min="13" max="13" width="10.5" style="1" customWidth="1"/>
    <col min="14" max="17" width="10.3516" style="1" customWidth="1"/>
    <col min="18" max="16384" width="16.3516" style="1" customWidth="1"/>
  </cols>
  <sheetData>
    <row r="1" ht="56.95" customHeight="1">
      <c r="A1" t="s" s="2">
        <v>0</v>
      </c>
      <c r="B1" s="3"/>
      <c r="C1" s="3"/>
      <c r="D1" s="3"/>
      <c r="E1" s="3"/>
      <c r="F1" s="4"/>
      <c r="G1" s="3"/>
      <c r="H1" s="4"/>
      <c r="I1" s="3"/>
      <c r="J1" s="3"/>
      <c r="K1" s="3"/>
      <c r="L1" s="3"/>
      <c r="M1" s="3"/>
      <c r="N1" s="3"/>
      <c r="O1" s="5"/>
      <c r="P1" s="6"/>
      <c r="Q1" s="7"/>
    </row>
    <row r="2" ht="56.35" customHeight="1">
      <c r="A2" t="s" s="8">
        <v>1</v>
      </c>
      <c r="B2" t="s" s="8">
        <v>2</v>
      </c>
      <c r="C2" t="s" s="9">
        <v>3</v>
      </c>
      <c r="D2" t="s" s="8">
        <v>4</v>
      </c>
      <c r="E2" t="s" s="8">
        <v>5</v>
      </c>
      <c r="F2" t="s" s="8">
        <v>6</v>
      </c>
      <c r="G2" t="s" s="8">
        <v>7</v>
      </c>
      <c r="H2" t="s" s="8">
        <v>8</v>
      </c>
      <c r="I2" s="10"/>
      <c r="J2" t="s" s="11">
        <v>1</v>
      </c>
      <c r="K2" t="s" s="8">
        <v>9</v>
      </c>
      <c r="L2" t="s" s="9">
        <v>10</v>
      </c>
      <c r="M2" t="s" s="8">
        <v>11</v>
      </c>
      <c r="N2" t="s" s="8">
        <v>12</v>
      </c>
      <c r="O2" s="8"/>
      <c r="P2" s="9"/>
      <c r="Q2" s="12"/>
    </row>
    <row r="3" ht="20.7" customHeight="1">
      <c r="A3" s="13">
        <f>$A4+7</f>
        <v>44175</v>
      </c>
      <c r="B3" s="14">
        <f>B4*C6/C7</f>
        <v>21459.3631939381</v>
      </c>
      <c r="C3" s="15"/>
      <c r="D3" s="16"/>
      <c r="E3" s="17"/>
      <c r="F3" s="16"/>
      <c r="G3" s="18"/>
      <c r="H3" s="18"/>
      <c r="I3" s="19"/>
      <c r="J3" s="20">
        <f>$A4+7</f>
        <v>44175</v>
      </c>
      <c r="K3" s="21">
        <f>K4+B3</f>
        <v>309926.617178123</v>
      </c>
      <c r="L3" s="22"/>
      <c r="M3" s="16"/>
      <c r="N3" s="23"/>
      <c r="O3" s="23"/>
      <c r="P3" s="24">
        <f>1/150+Q3</f>
        <v>0.00667322893583852</v>
      </c>
      <c r="Q3" s="24">
        <f>Q4*$Q$48</f>
        <v>6.562269171852e-06</v>
      </c>
    </row>
    <row r="4" ht="20.7" customHeight="1">
      <c r="A4" s="13">
        <f>$A5+7</f>
        <v>44168</v>
      </c>
      <c r="B4" s="14">
        <f>B5*C7/C8</f>
        <v>17258.0186584306</v>
      </c>
      <c r="C4" s="15"/>
      <c r="D4" s="16"/>
      <c r="E4" s="17"/>
      <c r="F4" s="16"/>
      <c r="G4" s="18"/>
      <c r="H4" s="18"/>
      <c r="I4" s="19"/>
      <c r="J4" s="20">
        <f>$A5+7</f>
        <v>44168</v>
      </c>
      <c r="K4" s="21">
        <f>K5+B4</f>
        <v>288467.253984185</v>
      </c>
      <c r="L4" s="22"/>
      <c r="M4" s="16"/>
      <c r="N4" s="23"/>
      <c r="O4" s="23"/>
      <c r="P4" s="24">
        <f>1/150+Q4</f>
        <v>0.00667454139282278</v>
      </c>
      <c r="Q4" s="24">
        <f>Q5*$Q$48</f>
        <v>7.87472615611286e-06</v>
      </c>
    </row>
    <row r="5" ht="20.7" customHeight="1">
      <c r="A5" s="13">
        <f>$A6+7</f>
        <v>44161</v>
      </c>
      <c r="B5" s="14">
        <f>B6*C8/C9</f>
        <v>12876.2353257539</v>
      </c>
      <c r="C5" s="15"/>
      <c r="D5" s="16"/>
      <c r="E5" s="17"/>
      <c r="F5" s="16"/>
      <c r="G5" s="18"/>
      <c r="H5" s="25"/>
      <c r="I5" s="19"/>
      <c r="J5" s="20">
        <f>$A6+7</f>
        <v>44161</v>
      </c>
      <c r="K5" s="21">
        <f>K6+B5</f>
        <v>271209.235325754</v>
      </c>
      <c r="L5" s="22"/>
      <c r="M5" s="16"/>
      <c r="N5" s="23"/>
      <c r="O5" s="23"/>
      <c r="P5" s="24">
        <f>1/150+Q5</f>
        <v>0.00667611634183387</v>
      </c>
      <c r="Q5" s="24">
        <f>Q6*$Q$48</f>
        <v>9.4496751672055e-06</v>
      </c>
    </row>
    <row r="6" ht="20.7" customHeight="1">
      <c r="A6" s="13">
        <f>$A7+7</f>
        <v>44154</v>
      </c>
      <c r="B6" s="26">
        <f>K6-K7</f>
        <v>9788</v>
      </c>
      <c r="C6" s="15">
        <f>D6*E6</f>
        <v>3209471.1</v>
      </c>
      <c r="D6" s="16">
        <f>M6-M7</f>
        <v>1188693</v>
      </c>
      <c r="E6" s="17">
        <v>2.7</v>
      </c>
      <c r="F6" s="16"/>
      <c r="G6" s="18">
        <f>(C6/C9)^(1/3)</f>
        <v>1.29909513532519</v>
      </c>
      <c r="H6" s="27">
        <f>C6/C7</f>
        <v>1.243443040517</v>
      </c>
      <c r="I6" s="19"/>
      <c r="J6" s="20">
        <f>$A7+7</f>
        <v>44154</v>
      </c>
      <c r="K6" s="28">
        <v>258333</v>
      </c>
      <c r="L6" s="22">
        <f>L7+C6</f>
        <v>39464194.3569198</v>
      </c>
      <c r="M6" s="16">
        <v>12070712</v>
      </c>
      <c r="N6" s="23">
        <f>L6/M6</f>
        <v>3.26941727686982</v>
      </c>
      <c r="O6" s="23"/>
      <c r="P6" s="24">
        <f>1/150+Q6</f>
        <v>0.00667800628140316</v>
      </c>
      <c r="Q6" s="24">
        <f>Q7*$Q$48</f>
        <v>1.13396147364925e-05</v>
      </c>
    </row>
    <row r="7" ht="20.7" customHeight="1">
      <c r="A7" s="13">
        <f>$A8+7</f>
        <v>44147</v>
      </c>
      <c r="B7" s="26">
        <f>K7-K8</f>
        <v>7563</v>
      </c>
      <c r="C7" s="15">
        <f>D7*E7</f>
        <v>2581116.3</v>
      </c>
      <c r="D7" s="16">
        <f>M7-M8</f>
        <v>955969</v>
      </c>
      <c r="E7" s="17">
        <v>2.7</v>
      </c>
      <c r="F7" s="16"/>
      <c r="G7" s="18">
        <f>(C7/C10)^(1/3)</f>
        <v>1.31679176950747</v>
      </c>
      <c r="H7" s="27">
        <f>C7/C8</f>
        <v>1.34030003505082</v>
      </c>
      <c r="I7" s="19"/>
      <c r="J7" s="20">
        <f>$A8+7</f>
        <v>44147</v>
      </c>
      <c r="K7" s="28">
        <v>248545</v>
      </c>
      <c r="L7" s="22">
        <f>L8+C7</f>
        <v>36254723.2569198</v>
      </c>
      <c r="M7" s="16">
        <v>10882019</v>
      </c>
      <c r="N7" s="23">
        <f>L7/M7</f>
        <v>3.33161734572599</v>
      </c>
      <c r="O7" s="23"/>
      <c r="P7" s="24">
        <f>1/150+Q7</f>
        <v>0.00668027420979347</v>
      </c>
      <c r="Q7" s="24">
        <f>Q8*$Q$48</f>
        <v>1.36075431268082e-05</v>
      </c>
    </row>
    <row r="8" ht="20.7" customHeight="1">
      <c r="A8" s="13">
        <f>$A9+7</f>
        <v>44140</v>
      </c>
      <c r="B8" s="26">
        <f>K8-K9</f>
        <v>6805</v>
      </c>
      <c r="C8" s="15">
        <f>D8*E8</f>
        <v>1925775</v>
      </c>
      <c r="D8" s="16">
        <f>M8-M9</f>
        <v>713250</v>
      </c>
      <c r="E8" s="29">
        <v>2.7</v>
      </c>
      <c r="F8" s="16">
        <v>12</v>
      </c>
      <c r="G8" s="18">
        <f>(C8/C11)^(1/3)</f>
        <v>1.2373905899076</v>
      </c>
      <c r="H8" s="27">
        <f>C8/C9</f>
        <v>1.31551239535695</v>
      </c>
      <c r="I8" s="19"/>
      <c r="J8" s="20">
        <f>$A9+7</f>
        <v>44140</v>
      </c>
      <c r="K8" s="28">
        <v>240982</v>
      </c>
      <c r="L8" s="22">
        <f>L9+C8</f>
        <v>33673606.9569198</v>
      </c>
      <c r="M8" s="16">
        <v>9926050</v>
      </c>
      <c r="N8" s="23">
        <f>L8/M8</f>
        <v>3.39244784752442</v>
      </c>
      <c r="O8" s="23"/>
      <c r="P8" s="24">
        <f>1/150+Q8</f>
        <v>0.00668299572495046</v>
      </c>
      <c r="Q8" s="24">
        <f>Q9*$Q$48</f>
        <v>1.63290582837932e-05</v>
      </c>
    </row>
    <row r="9" ht="20.7" customHeight="1">
      <c r="A9" s="13">
        <f>$A10+7</f>
        <v>44133</v>
      </c>
      <c r="B9" s="26">
        <f>K9-K10</f>
        <v>5796</v>
      </c>
      <c r="C9" s="30">
        <f>B6/P9</f>
        <v>1463897.26679653</v>
      </c>
      <c r="D9" s="16">
        <f>M9-M10</f>
        <v>545400</v>
      </c>
      <c r="E9" s="31">
        <f>C9/D9</f>
        <v>2.68408006380002</v>
      </c>
      <c r="F9" s="16">
        <v>14</v>
      </c>
      <c r="G9" s="32">
        <f>(C9/C12)^(1/3)</f>
        <v>1.19169116835082</v>
      </c>
      <c r="H9" s="33">
        <f>C9/C10</f>
        <v>1.29495398537266</v>
      </c>
      <c r="I9" s="19"/>
      <c r="J9" s="20">
        <f>$A10+7</f>
        <v>44133</v>
      </c>
      <c r="K9" s="28">
        <v>234177</v>
      </c>
      <c r="L9" s="30">
        <f>L10+C9</f>
        <v>31747831.9569198</v>
      </c>
      <c r="M9" s="16">
        <v>9212800</v>
      </c>
      <c r="N9" s="34">
        <f>L9/M9</f>
        <v>3.44605678587615</v>
      </c>
      <c r="O9" s="23"/>
      <c r="P9" s="24">
        <f>1/150+Q9</f>
        <v>0.00668626154444517</v>
      </c>
      <c r="Q9" s="24">
        <f>Q10*$Q$48</f>
        <v>1.95948777785029e-05</v>
      </c>
    </row>
    <row r="10" ht="20.7" customHeight="1">
      <c r="A10" s="13">
        <f>$A11+7</f>
        <v>44126</v>
      </c>
      <c r="B10" s="26">
        <f>K10-K11</f>
        <v>5658</v>
      </c>
      <c r="C10" s="30">
        <f>B7/P10</f>
        <v>1130462.76804596</v>
      </c>
      <c r="D10" s="16">
        <f>M10-M11</f>
        <v>442600</v>
      </c>
      <c r="E10" s="31">
        <f>C10/D10</f>
        <v>2.55414091289191</v>
      </c>
      <c r="F10" s="16">
        <v>14</v>
      </c>
      <c r="G10" s="32">
        <f>(C10/C13)^(1/3)</f>
        <v>1.10250437601016</v>
      </c>
      <c r="H10" s="33">
        <f>C10/C11</f>
        <v>1.11216992241457</v>
      </c>
      <c r="I10" s="19"/>
      <c r="J10" s="20">
        <f>$A11+7</f>
        <v>44126</v>
      </c>
      <c r="K10" s="28">
        <v>228381</v>
      </c>
      <c r="L10" s="30">
        <f>L11+C10</f>
        <v>30283934.6901233</v>
      </c>
      <c r="M10" s="16">
        <v>8667400</v>
      </c>
      <c r="N10" s="34">
        <f>L10/M10</f>
        <v>3.49400451001723</v>
      </c>
      <c r="O10" s="23"/>
      <c r="P10" s="24">
        <f>1/150+Q10</f>
        <v>0.00669018052940642</v>
      </c>
      <c r="Q10" s="24">
        <f>Q11*$Q$48</f>
        <v>2.35138627397486e-05</v>
      </c>
    </row>
    <row r="11" ht="20.7" customHeight="1">
      <c r="A11" s="13">
        <f>$A12+7</f>
        <v>44119</v>
      </c>
      <c r="B11" s="26">
        <f>K11-K12</f>
        <v>4981</v>
      </c>
      <c r="C11" s="30">
        <f>B8/P11</f>
        <v>1016447.88738008</v>
      </c>
      <c r="D11" s="16">
        <f>M11-M12</f>
        <v>381200</v>
      </c>
      <c r="E11" s="31">
        <f>C11/D11</f>
        <v>2.66644251673683</v>
      </c>
      <c r="F11" s="16">
        <v>20</v>
      </c>
      <c r="G11" s="32">
        <f>(C11/C14)^(1/3)</f>
        <v>1.11074413379002</v>
      </c>
      <c r="H11" s="33">
        <f>C11/C12</f>
        <v>1.17507525257533</v>
      </c>
      <c r="I11" s="19"/>
      <c r="J11" s="20">
        <f>$A12+7</f>
        <v>44119</v>
      </c>
      <c r="K11" s="28">
        <v>222723</v>
      </c>
      <c r="L11" s="30">
        <f>L12+C11</f>
        <v>29153471.9220773</v>
      </c>
      <c r="M11" s="16">
        <v>8224800</v>
      </c>
      <c r="N11" s="34">
        <f>L11/M11</f>
        <v>3.54458125693966</v>
      </c>
      <c r="O11" s="23"/>
      <c r="P11" s="24">
        <f>1/150+Q11</f>
        <v>0.00669488331324102</v>
      </c>
      <c r="Q11" s="24">
        <f>Q12*$Q$48</f>
        <v>2.82166465743569e-05</v>
      </c>
    </row>
    <row r="12" ht="20.7" customHeight="1">
      <c r="A12" s="13">
        <f>$A13+7</f>
        <v>44112</v>
      </c>
      <c r="B12" s="26">
        <f>K12-K13</f>
        <v>5080</v>
      </c>
      <c r="C12" s="30">
        <f>B9/P12</f>
        <v>865006.63268365</v>
      </c>
      <c r="D12" s="16">
        <f>M12-M13</f>
        <v>329800</v>
      </c>
      <c r="E12" s="31">
        <f>C12/D12</f>
        <v>2.62282180922878</v>
      </c>
      <c r="F12" s="16">
        <v>24</v>
      </c>
      <c r="G12" s="32">
        <f>(C12/C15)^(1/3)</f>
        <v>1.0462122731171</v>
      </c>
      <c r="H12" s="33">
        <f>C12/C13</f>
        <v>1.02542556329927</v>
      </c>
      <c r="I12" s="19"/>
      <c r="J12" s="20">
        <f>$A13+7</f>
        <v>44112</v>
      </c>
      <c r="K12" s="28">
        <v>217742</v>
      </c>
      <c r="L12" s="30">
        <f>L13+C12</f>
        <v>28137024.0346972</v>
      </c>
      <c r="M12" s="16">
        <v>7843600</v>
      </c>
      <c r="N12" s="34">
        <f>L12/M12</f>
        <v>3.58725891614784</v>
      </c>
      <c r="O12" s="23"/>
      <c r="P12" s="24">
        <f>1/150+Q12</f>
        <v>0.00670052665609989</v>
      </c>
      <c r="Q12" s="24">
        <f>Q13*$Q$48</f>
        <v>3.38599894332241e-05</v>
      </c>
    </row>
    <row r="13" ht="20.7" customHeight="1">
      <c r="A13" s="13">
        <f>$A14+7</f>
        <v>44105</v>
      </c>
      <c r="B13" s="26">
        <f>K13-K14</f>
        <v>5112</v>
      </c>
      <c r="C13" s="30">
        <f>B10/P13</f>
        <v>843558.678116551</v>
      </c>
      <c r="D13" s="16">
        <f>M13-M14</f>
        <v>301700</v>
      </c>
      <c r="E13" s="31">
        <f>C13/D13</f>
        <v>2.79601815749603</v>
      </c>
      <c r="F13" s="16">
        <v>23</v>
      </c>
      <c r="G13" s="32">
        <f>(C13/C16)^(1/3)</f>
        <v>1.03592360698118</v>
      </c>
      <c r="H13" s="33">
        <f>C13/C14</f>
        <v>1.1372927348518</v>
      </c>
      <c r="I13" s="19"/>
      <c r="J13" s="20">
        <f>$A14+7</f>
        <v>44105</v>
      </c>
      <c r="K13" s="28">
        <v>212662</v>
      </c>
      <c r="L13" s="30">
        <f>L14+C13</f>
        <v>27272017.4020135</v>
      </c>
      <c r="M13" s="16">
        <v>7513800</v>
      </c>
      <c r="N13" s="34">
        <f>L13/M13</f>
        <v>3.62959054034091</v>
      </c>
      <c r="O13" s="23"/>
      <c r="P13" s="24">
        <f>1/150+Q13</f>
        <v>0.00670729867023934</v>
      </c>
      <c r="Q13" s="24">
        <f>Q14*$Q$48</f>
        <v>4.06320035726703e-05</v>
      </c>
    </row>
    <row r="14" ht="20.7" customHeight="1">
      <c r="A14" s="13">
        <f>$A15+7</f>
        <v>44098</v>
      </c>
      <c r="B14" s="26">
        <f>K14-K15</f>
        <v>6050</v>
      </c>
      <c r="C14" s="30">
        <f>B11/P14</f>
        <v>741725.197274273</v>
      </c>
      <c r="D14" s="16">
        <f>M14-M15</f>
        <v>382100</v>
      </c>
      <c r="E14" s="31">
        <f>C14/D14</f>
        <v>1.94118083557779</v>
      </c>
      <c r="F14" s="16">
        <v>22</v>
      </c>
      <c r="G14" s="32">
        <f>(C14/C17)^(1/3)</f>
        <v>0.938894730484363</v>
      </c>
      <c r="H14" s="33">
        <f>C14/C15</f>
        <v>0.981935647177234</v>
      </c>
      <c r="I14" s="19"/>
      <c r="J14" s="20">
        <f>$A15+7</f>
        <v>44098</v>
      </c>
      <c r="K14" s="28">
        <v>207550</v>
      </c>
      <c r="L14" s="30">
        <f>L15+C14</f>
        <v>26428458.7238969</v>
      </c>
      <c r="M14" s="16">
        <v>7212100</v>
      </c>
      <c r="N14" s="34">
        <f>L14/M14</f>
        <v>3.66446093702207</v>
      </c>
      <c r="O14" s="23"/>
      <c r="P14" s="24">
        <f>1/150+Q14</f>
        <v>0.00671542509045724</v>
      </c>
      <c r="Q14" s="24">
        <f>Q15*$Q$48</f>
        <v>4.87584237905739e-05</v>
      </c>
    </row>
    <row r="15" ht="20.7" customHeight="1">
      <c r="A15" s="13">
        <f>$A16+7</f>
        <v>44091</v>
      </c>
      <c r="B15" s="26">
        <f>K15-K16</f>
        <v>5200</v>
      </c>
      <c r="C15" s="30">
        <f>B12/P15</f>
        <v>755370.476065827</v>
      </c>
      <c r="D15" s="16">
        <f>M15-M16</f>
        <v>237700</v>
      </c>
      <c r="E15" s="31">
        <f>C15/D15</f>
        <v>3.17783119926726</v>
      </c>
      <c r="F15" s="16">
        <v>24</v>
      </c>
      <c r="G15" s="32">
        <f>(C15/C18)^(1/3)</f>
        <v>0.994338221501499</v>
      </c>
      <c r="H15" s="33">
        <f>C15/C16</f>
        <v>0.995469363548523</v>
      </c>
      <c r="I15" s="19"/>
      <c r="J15" s="20">
        <f>$A16+7</f>
        <v>44091</v>
      </c>
      <c r="K15" s="28">
        <v>201500</v>
      </c>
      <c r="L15" s="30">
        <f>L16+C15</f>
        <v>25686733.5266226</v>
      </c>
      <c r="M15" s="16">
        <v>6830000</v>
      </c>
      <c r="N15" s="34">
        <f>L15/M15</f>
        <v>3.76086874474709</v>
      </c>
      <c r="O15" s="23"/>
      <c r="P15" s="24">
        <f>1/150+Q15</f>
        <v>0.00672517679861941</v>
      </c>
      <c r="Q15" s="24">
        <f>Q16*$Q$48</f>
        <v>5.85101319527415e-05</v>
      </c>
    </row>
    <row r="16" ht="20.7" customHeight="1">
      <c r="A16" s="13">
        <f>$A17+7</f>
        <v>44084</v>
      </c>
      <c r="B16" s="26">
        <f>K16-K17</f>
        <v>5200</v>
      </c>
      <c r="C16" s="30">
        <f>B13/P16</f>
        <v>758808.36088534</v>
      </c>
      <c r="D16" s="16">
        <f>M16-M17</f>
        <v>258100</v>
      </c>
      <c r="E16" s="31">
        <f>C16/D16</f>
        <v>2.93997815143487</v>
      </c>
      <c r="F16" s="16">
        <v>22</v>
      </c>
      <c r="G16" s="32">
        <f>(C16/C19)^(1/3)</f>
        <v>0.996835264178066</v>
      </c>
      <c r="H16" s="33">
        <f>C16/C17</f>
        <v>0.846719924693025</v>
      </c>
      <c r="I16" s="19"/>
      <c r="J16" s="20">
        <f>$A17+7</f>
        <v>44084</v>
      </c>
      <c r="K16" s="28">
        <v>196300</v>
      </c>
      <c r="L16" s="30">
        <f>L17+C16</f>
        <v>24931363.0505568</v>
      </c>
      <c r="M16" s="16">
        <v>6592300</v>
      </c>
      <c r="N16" s="34">
        <f>L16/M16</f>
        <v>3.78189145678394</v>
      </c>
      <c r="O16" s="23"/>
      <c r="P16" s="24">
        <f>1/150+Q16</f>
        <v>0.00673687885309483</v>
      </c>
      <c r="Q16" s="24">
        <f>Q17*$Q$48</f>
        <v>7.021218642816439e-05</v>
      </c>
    </row>
    <row r="17" ht="20.7" customHeight="1">
      <c r="A17" s="13">
        <f>$A18+7</f>
        <v>44077</v>
      </c>
      <c r="B17" s="26">
        <f>K17-K18</f>
        <v>6300</v>
      </c>
      <c r="C17" s="30">
        <f>B14/P17</f>
        <v>896173.9753088281</v>
      </c>
      <c r="D17" s="16">
        <f>M17-M18</f>
        <v>287300</v>
      </c>
      <c r="E17" s="31">
        <f>C17/D17</f>
        <v>3.11929681625071</v>
      </c>
      <c r="F17" s="16">
        <v>21</v>
      </c>
      <c r="G17" s="32">
        <f>(C17/C20)^(1/3)</f>
        <v>0.989572552607486</v>
      </c>
      <c r="H17" s="33">
        <f>C17/C18</f>
        <v>1.16636565432657</v>
      </c>
      <c r="I17" s="19"/>
      <c r="J17" s="20">
        <f>$A18+7</f>
        <v>44077</v>
      </c>
      <c r="K17" s="28">
        <v>191100</v>
      </c>
      <c r="L17" s="30">
        <f>L18+C17</f>
        <v>24172554.6896715</v>
      </c>
      <c r="M17" s="16">
        <v>6334200</v>
      </c>
      <c r="N17" s="34">
        <f>L17/M17</f>
        <v>3.81619694510301</v>
      </c>
      <c r="O17" s="23"/>
      <c r="P17" s="24">
        <f>1/150+Q17</f>
        <v>0.00675092132408233</v>
      </c>
      <c r="Q17" s="24">
        <f>Q18*$Q$48</f>
        <v>8.42546574156602e-05</v>
      </c>
    </row>
    <row r="18" ht="20.7" customHeight="1">
      <c r="A18" s="13">
        <f>$A19+7</f>
        <v>44070</v>
      </c>
      <c r="B18" s="26">
        <f>K18-K19</f>
        <v>6800</v>
      </c>
      <c r="C18" s="30">
        <f>B15/P18</f>
        <v>768347.36344003</v>
      </c>
      <c r="D18" s="16">
        <f>M18-M19</f>
        <v>299500</v>
      </c>
      <c r="E18" s="31">
        <f>C18/D18</f>
        <v>2.56543360080144</v>
      </c>
      <c r="F18" s="16">
        <v>20</v>
      </c>
      <c r="G18" s="32">
        <f>(C18/C21)^(1/3)</f>
        <v>0.917763427355459</v>
      </c>
      <c r="H18" s="33">
        <f>C18/C19</f>
        <v>1.00298786269905</v>
      </c>
      <c r="I18" s="19"/>
      <c r="J18" s="20">
        <f>$A19+7</f>
        <v>44070</v>
      </c>
      <c r="K18" s="28">
        <v>184800</v>
      </c>
      <c r="L18" s="30">
        <f>L19+C18</f>
        <v>23276380.7143627</v>
      </c>
      <c r="M18" s="16">
        <v>6046900</v>
      </c>
      <c r="N18" s="34">
        <f>L18/M18</f>
        <v>3.84930802797511</v>
      </c>
      <c r="O18" s="23"/>
      <c r="P18" s="24">
        <f>1/150+Q18</f>
        <v>0.00676777229600771</v>
      </c>
      <c r="Q18" s="24">
        <f>Q19*$Q$48</f>
        <v>0.000101105629341044</v>
      </c>
    </row>
    <row r="19" ht="20.7" customHeight="1">
      <c r="A19" s="13">
        <f>$A20+7</f>
        <v>44063</v>
      </c>
      <c r="B19" s="26">
        <f>K19-K20</f>
        <v>7600</v>
      </c>
      <c r="C19" s="30">
        <f>B16/P19</f>
        <v>766058.485864821</v>
      </c>
      <c r="D19" s="16">
        <f>M19-M20</f>
        <v>331400</v>
      </c>
      <c r="E19" s="31">
        <f>C19/D19</f>
        <v>2.31158263688842</v>
      </c>
      <c r="F19" s="16">
        <v>18</v>
      </c>
      <c r="G19" s="32">
        <f>(C19/C22)^(1/3)</f>
        <v>0.884982732885285</v>
      </c>
      <c r="H19" s="33">
        <f>C19/C20</f>
        <v>0.828347417480386</v>
      </c>
      <c r="I19" s="19"/>
      <c r="J19" s="20">
        <f>$A20+7</f>
        <v>44063</v>
      </c>
      <c r="K19" s="28">
        <v>178000</v>
      </c>
      <c r="L19" s="30">
        <f>L20+C19</f>
        <v>22508033.3509227</v>
      </c>
      <c r="M19" s="16">
        <v>5747400</v>
      </c>
      <c r="N19" s="34">
        <f>L19/M19</f>
        <v>3.91621139139832</v>
      </c>
      <c r="O19" s="23"/>
      <c r="P19" s="24">
        <f>1/150+Q19</f>
        <v>0.00678799347040664</v>
      </c>
      <c r="Q19" s="24">
        <f>Q20*$Q$48</f>
        <v>0.000121326803739974</v>
      </c>
    </row>
    <row r="20" ht="20.7" customHeight="1">
      <c r="A20" s="13">
        <f>$A21+7</f>
        <v>44056</v>
      </c>
      <c r="B20" s="26">
        <f>K20-K21</f>
        <v>8400</v>
      </c>
      <c r="C20" s="30">
        <f>B17/P20</f>
        <v>924803.3731969231</v>
      </c>
      <c r="D20" s="16">
        <f>M20-M21</f>
        <v>406000</v>
      </c>
      <c r="E20" s="31">
        <f>C20/D20</f>
        <v>2.27784082068208</v>
      </c>
      <c r="F20" s="16">
        <v>17</v>
      </c>
      <c r="G20" s="32">
        <f>(C20/C23)^(1/3)</f>
        <v>0.913248141714913</v>
      </c>
      <c r="H20" s="33">
        <f>C20/C21</f>
        <v>0.930430720642158</v>
      </c>
      <c r="I20" s="19"/>
      <c r="J20" s="20">
        <f>$A21+7</f>
        <v>44056</v>
      </c>
      <c r="K20" s="28">
        <v>170400</v>
      </c>
      <c r="L20" s="30">
        <f>L21+C20</f>
        <v>21741974.8650579</v>
      </c>
      <c r="M20" s="16">
        <v>5416000</v>
      </c>
      <c r="N20" s="34">
        <f>L20/M20</f>
        <v>4.01439713165766</v>
      </c>
      <c r="O20" s="23"/>
      <c r="P20" s="24">
        <f>1/150+Q20</f>
        <v>0.00681225888939152</v>
      </c>
      <c r="Q20" s="24">
        <f>Q21*$Q$48</f>
        <v>0.000145592222724858</v>
      </c>
    </row>
    <row r="21" ht="20.7" customHeight="1">
      <c r="A21" s="13">
        <f>$A22+7</f>
        <v>44049</v>
      </c>
      <c r="B21" s="26">
        <f>K21-K22</f>
        <v>6800</v>
      </c>
      <c r="C21" s="30">
        <f>B18/P21</f>
        <v>993951.889893155</v>
      </c>
      <c r="D21" s="16">
        <f>M21-M22</f>
        <v>375000</v>
      </c>
      <c r="E21" s="31">
        <f>C21/D21</f>
        <v>2.65053837304841</v>
      </c>
      <c r="F21" s="16">
        <v>14</v>
      </c>
      <c r="G21" s="32">
        <f>(C21/C24)^(1/3)</f>
        <v>1.00615907231808</v>
      </c>
      <c r="H21" s="33">
        <f>C21/C22</f>
        <v>0.899306696951287</v>
      </c>
      <c r="I21" s="19"/>
      <c r="J21" s="20">
        <f>$A22+7</f>
        <v>44049</v>
      </c>
      <c r="K21" s="28">
        <v>162000</v>
      </c>
      <c r="L21" s="30">
        <f>L22+C21</f>
        <v>20817171.491861</v>
      </c>
      <c r="M21" s="16">
        <v>5010000</v>
      </c>
      <c r="N21" s="34">
        <f>L21/M21</f>
        <v>4.15512405027166</v>
      </c>
      <c r="O21" s="23"/>
      <c r="P21" s="24">
        <f>1/150+Q21</f>
        <v>0.00684137740382079</v>
      </c>
      <c r="Q21" s="24">
        <f>Q22*$Q$48</f>
        <v>0.000174710737154124</v>
      </c>
    </row>
    <row r="22" ht="20.7" customHeight="1">
      <c r="A22" s="13">
        <f>$A23+7</f>
        <v>44042</v>
      </c>
      <c r="B22" s="26">
        <f>K22-K23</f>
        <v>7800</v>
      </c>
      <c r="C22" s="30">
        <f>B19/P22</f>
        <v>1105242.3975744</v>
      </c>
      <c r="D22" s="16">
        <f>M22-M23</f>
        <v>462000</v>
      </c>
      <c r="E22" s="31">
        <f>C22/D22</f>
        <v>2.39229956184935</v>
      </c>
      <c r="F22" s="16">
        <v>12</v>
      </c>
      <c r="G22" s="35">
        <f>(C22/C25)^(1/3)</f>
        <v>0.998660201936343</v>
      </c>
      <c r="H22" s="33">
        <f>C22/C23</f>
        <v>0.910278997752993</v>
      </c>
      <c r="I22" s="19"/>
      <c r="J22" s="20">
        <f>$A23+7</f>
        <v>44042</v>
      </c>
      <c r="K22" s="28">
        <v>155200</v>
      </c>
      <c r="L22" s="30">
        <f>L23+C22</f>
        <v>19823219.6019678</v>
      </c>
      <c r="M22" s="16">
        <v>4635000</v>
      </c>
      <c r="N22" s="36">
        <f>L22/M22</f>
        <v>4.2768542830567</v>
      </c>
      <c r="O22" s="37"/>
      <c r="P22" s="24">
        <f>1/150+Q22</f>
        <v>0.0068763196351128</v>
      </c>
      <c r="Q22" s="24">
        <f>Q23*$Q$48</f>
        <v>0.000209652968446136</v>
      </c>
    </row>
    <row r="23" ht="20.7" customHeight="1">
      <c r="A23" s="13">
        <f>$A24+7</f>
        <v>44035</v>
      </c>
      <c r="B23" s="26">
        <f>K23-K24</f>
        <v>6300</v>
      </c>
      <c r="C23" s="30">
        <f>B20/P23</f>
        <v>1214179.82871479</v>
      </c>
      <c r="D23" s="16">
        <f>M23-M24</f>
        <v>478000</v>
      </c>
      <c r="E23" s="31">
        <f>C23/D23</f>
        <v>2.54012516467529</v>
      </c>
      <c r="F23" s="16">
        <v>13</v>
      </c>
      <c r="G23" s="33">
        <f>(C23/C26)^(1/3)</f>
        <v>1.11027072805551</v>
      </c>
      <c r="H23" s="33">
        <f>C23/C24</f>
        <v>1.24427848652033</v>
      </c>
      <c r="I23" s="19"/>
      <c r="J23" s="20">
        <f>$A24+7</f>
        <v>44035</v>
      </c>
      <c r="K23" s="28">
        <v>147400</v>
      </c>
      <c r="L23" s="30">
        <f>L24+C23</f>
        <v>18717977.2043934</v>
      </c>
      <c r="M23" s="16">
        <v>4173000</v>
      </c>
      <c r="N23" s="31">
        <f>L23/M23</f>
        <v>4.48549657426154</v>
      </c>
      <c r="O23" s="31"/>
      <c r="P23" s="24">
        <f>1/150+Q23</f>
        <v>0.00691825032943549</v>
      </c>
      <c r="Q23" s="24">
        <f>Q24*$Q$48</f>
        <v>0.000251583662768828</v>
      </c>
    </row>
    <row r="24" ht="20.7" customHeight="1">
      <c r="A24" s="38">
        <f>$A25+7</f>
        <v>44028</v>
      </c>
      <c r="B24" s="26">
        <f>K24-K25</f>
        <v>5300</v>
      </c>
      <c r="C24" s="30">
        <f>B21/P24</f>
        <v>975810.352640819</v>
      </c>
      <c r="D24" s="16">
        <f>M24-M25</f>
        <v>475000</v>
      </c>
      <c r="E24" s="31">
        <f>C24/D24</f>
        <v>2.05433758450699</v>
      </c>
      <c r="F24" s="16">
        <v>13</v>
      </c>
      <c r="G24" s="33">
        <f>(C24/C27)^(1/3)</f>
        <v>1.09792569738171</v>
      </c>
      <c r="H24" s="33">
        <f>C24/C25</f>
        <v>0.879348675797332</v>
      </c>
      <c r="I24" s="19"/>
      <c r="J24" s="20">
        <f>$A25+7</f>
        <v>44028</v>
      </c>
      <c r="K24" s="28">
        <v>141100</v>
      </c>
      <c r="L24" s="30">
        <f>L25+C24</f>
        <v>17503797.3756786</v>
      </c>
      <c r="M24" s="16">
        <v>3695000</v>
      </c>
      <c r="N24" s="31">
        <f>L24/M24</f>
        <v>4.737157611821</v>
      </c>
      <c r="O24" s="31"/>
      <c r="P24" s="24">
        <f>1/150+Q24</f>
        <v>0.00696856718274947</v>
      </c>
      <c r="Q24" s="24">
        <f>Q25*$Q$48</f>
        <v>0.0003019005160828</v>
      </c>
    </row>
    <row r="25" ht="20.7" customHeight="1">
      <c r="A25" s="39">
        <f>$A26+7</f>
        <v>44021</v>
      </c>
      <c r="B25" s="26">
        <f>K25-K26</f>
        <v>4300</v>
      </c>
      <c r="C25" s="30">
        <f>B22/P25</f>
        <v>1109696.7329325</v>
      </c>
      <c r="D25" s="16">
        <f>M25-M26</f>
        <v>382800</v>
      </c>
      <c r="E25" s="31">
        <f>C25/D25</f>
        <v>2.89889428665752</v>
      </c>
      <c r="F25" s="16">
        <v>13</v>
      </c>
      <c r="G25" s="33">
        <f>(C25/C28)^(1/3)</f>
        <v>1.23464236003596</v>
      </c>
      <c r="H25" s="33">
        <f>C25/C26</f>
        <v>1.25085786493024</v>
      </c>
      <c r="I25" s="40"/>
      <c r="J25" s="41">
        <f>$A26+7</f>
        <v>44021</v>
      </c>
      <c r="K25" s="28">
        <v>135800</v>
      </c>
      <c r="L25" s="30">
        <f>L26+C25</f>
        <v>16527987.0230378</v>
      </c>
      <c r="M25" s="16">
        <v>3220000</v>
      </c>
      <c r="N25" s="31">
        <f>L25/M25</f>
        <v>5.1329152245459</v>
      </c>
      <c r="O25" s="31"/>
      <c r="P25" s="24">
        <f>1/150+Q25</f>
        <v>0.00702894743087833</v>
      </c>
      <c r="Q25" s="24">
        <f>Q26*$Q$48</f>
        <v>0.000362280764211666</v>
      </c>
    </row>
    <row r="26" ht="20.7" customHeight="1">
      <c r="A26" s="13">
        <f>$A27+7</f>
        <v>44014</v>
      </c>
      <c r="B26" s="26">
        <f>K26-K27</f>
        <v>4523</v>
      </c>
      <c r="C26" s="30">
        <f>B23/P26</f>
        <v>887148.543447332</v>
      </c>
      <c r="D26" s="16">
        <f>M26-M27</f>
        <v>331600</v>
      </c>
      <c r="E26" s="31">
        <f>C26/D26</f>
        <v>2.67535748928628</v>
      </c>
      <c r="F26" s="16">
        <v>14</v>
      </c>
      <c r="G26" s="33">
        <f>(C26/C29)^(1/3)</f>
        <v>1.13313967341842</v>
      </c>
      <c r="H26" s="33">
        <f>C26/C27</f>
        <v>1.20323310576006</v>
      </c>
      <c r="I26" s="40"/>
      <c r="J26" s="41">
        <f>$A27+7</f>
        <v>44014</v>
      </c>
      <c r="K26" s="28">
        <v>131500</v>
      </c>
      <c r="L26" s="30">
        <f>L27+C26</f>
        <v>15418290.2901053</v>
      </c>
      <c r="M26" s="16">
        <v>2837200</v>
      </c>
      <c r="N26" s="31">
        <f>L26/M26</f>
        <v>5.43433324760514</v>
      </c>
      <c r="O26" s="31"/>
      <c r="P26" s="24">
        <f>1/150+Q26</f>
        <v>0.0071014037576155</v>
      </c>
      <c r="Q26" s="24">
        <f>Q27*$Q$48</f>
        <v>0.000434737090948836</v>
      </c>
    </row>
    <row r="27" ht="20.7" customHeight="1">
      <c r="A27" s="38">
        <f>$A28+7</f>
        <v>44007</v>
      </c>
      <c r="B27" s="26">
        <f>K27-K28</f>
        <v>6177</v>
      </c>
      <c r="C27" s="30">
        <f>B24/P27</f>
        <v>737303.968117582</v>
      </c>
      <c r="D27" s="16">
        <f>M27-M28</f>
        <v>243600</v>
      </c>
      <c r="E27" s="31">
        <f>C27/D27</f>
        <v>3.02669937650896</v>
      </c>
      <c r="F27" s="16">
        <v>17</v>
      </c>
      <c r="G27" s="33">
        <f>(C27/C30)^(1/3)</f>
        <v>0.966687320312935</v>
      </c>
      <c r="H27" s="33">
        <f>C27/C28</f>
        <v>1.25044842491564</v>
      </c>
      <c r="I27" s="40"/>
      <c r="J27" s="41">
        <f>$A28+7</f>
        <v>44007</v>
      </c>
      <c r="K27" s="28">
        <v>126977</v>
      </c>
      <c r="L27" s="30">
        <f>L28+C27</f>
        <v>14531141.746658</v>
      </c>
      <c r="M27" s="16">
        <v>2505600</v>
      </c>
      <c r="N27" s="31">
        <f>L27/M27</f>
        <v>5.79946589505827</v>
      </c>
      <c r="O27" s="31"/>
      <c r="P27" s="24">
        <f>1/150+Q27</f>
        <v>0.00718835138447916</v>
      </c>
      <c r="Q27" s="24">
        <f>Q28*$Q$48</f>
        <v>0.00052168471781249</v>
      </c>
    </row>
    <row r="28" ht="20.7" customHeight="1">
      <c r="A28" s="42">
        <f>$A29+7</f>
        <v>44000</v>
      </c>
      <c r="B28" s="43">
        <f>K28-K29</f>
        <v>4766</v>
      </c>
      <c r="C28" s="30">
        <f>B25/P28</f>
        <v>589631.650075709</v>
      </c>
      <c r="D28" s="44">
        <f>M28-M29</f>
        <v>172299</v>
      </c>
      <c r="E28" s="31">
        <f>C28/D28</f>
        <v>3.42214203260442</v>
      </c>
      <c r="F28" s="44">
        <v>21</v>
      </c>
      <c r="G28" s="33">
        <f>(C28/C31)^(1/3)</f>
        <v>0.986007517221101</v>
      </c>
      <c r="H28" s="33">
        <f>C28/C29</f>
        <v>0.967018492979108</v>
      </c>
      <c r="I28" s="45"/>
      <c r="J28" s="41">
        <f>$A29+7</f>
        <v>44000</v>
      </c>
      <c r="K28" s="46">
        <v>120800</v>
      </c>
      <c r="L28" s="30">
        <f>L29+C28</f>
        <v>13793837.7785404</v>
      </c>
      <c r="M28" s="44">
        <v>2262000</v>
      </c>
      <c r="N28" s="31">
        <f>L28/M28</f>
        <v>6.0980715201328</v>
      </c>
      <c r="O28" s="31"/>
      <c r="P28" s="24">
        <f>1/150+Q28</f>
        <v>0.00729268857845042</v>
      </c>
      <c r="Q28" s="24">
        <f>Q29*$Q$48</f>
        <v>0.000626021911783753</v>
      </c>
    </row>
    <row r="29" ht="20.7" customHeight="1">
      <c r="A29" s="42">
        <f>$A30+7</f>
        <v>43993</v>
      </c>
      <c r="B29" s="47">
        <f>K29-K30</f>
        <v>5861</v>
      </c>
      <c r="C29" s="30">
        <f>B26/P29</f>
        <v>609741.855359169</v>
      </c>
      <c r="D29" s="30">
        <f>M29-M30</f>
        <v>165650</v>
      </c>
      <c r="E29" s="31">
        <f>C29/D29</f>
        <v>3.68090465052321</v>
      </c>
      <c r="F29" s="30">
        <v>21</v>
      </c>
      <c r="G29" s="33">
        <f>(C29/C32)^(1/3)</f>
        <v>0.9392535208481541</v>
      </c>
      <c r="H29" s="33">
        <f>C29/C30</f>
        <v>0.747063474079208</v>
      </c>
      <c r="I29" s="48"/>
      <c r="J29" s="41">
        <f>$A30+7</f>
        <v>43993</v>
      </c>
      <c r="K29" s="49">
        <v>116034</v>
      </c>
      <c r="L29" s="30">
        <f>L30+C29</f>
        <v>13204206.1284647</v>
      </c>
      <c r="M29" s="30">
        <v>2089701</v>
      </c>
      <c r="N29" s="31">
        <f>L29/M29</f>
        <v>6.31870594332141</v>
      </c>
      <c r="O29" s="31"/>
      <c r="P29" s="24">
        <f>1/150+Q29</f>
        <v>0.00741789326129781</v>
      </c>
      <c r="Q29" s="24">
        <f>Q30*$Q$48</f>
        <v>0.000751226594631141</v>
      </c>
    </row>
    <row r="30" ht="20.7" customHeight="1">
      <c r="A30" s="42">
        <f>$A31+7</f>
        <v>43986</v>
      </c>
      <c r="B30" s="47">
        <f>K30-K31</f>
        <v>6573</v>
      </c>
      <c r="C30" s="30">
        <f>B27/P30</f>
        <v>816184.8042573699</v>
      </c>
      <c r="D30" s="30">
        <f>M30-M31</f>
        <v>159051</v>
      </c>
      <c r="E30" s="31">
        <f>C30/D30</f>
        <v>5.1315917803558</v>
      </c>
      <c r="F30" s="30">
        <v>20</v>
      </c>
      <c r="G30" s="33">
        <f>(C30/C33)^(1/3)</f>
        <v>1.00703196150096</v>
      </c>
      <c r="H30" s="33">
        <f>C30/C31</f>
        <v>1.32693116816875</v>
      </c>
      <c r="I30" s="48"/>
      <c r="J30" s="50">
        <f>$A31+7</f>
        <v>43986</v>
      </c>
      <c r="K30" s="49">
        <v>110173</v>
      </c>
      <c r="L30" s="30">
        <f>L31+C30</f>
        <v>12594464.2731055</v>
      </c>
      <c r="M30" s="30">
        <v>1924051</v>
      </c>
      <c r="N30" s="31">
        <f>L30/M30</f>
        <v>6.54580584044056</v>
      </c>
      <c r="O30" s="31"/>
      <c r="P30" s="24">
        <f>1/150+Q30</f>
        <v>0.00756813894081295</v>
      </c>
      <c r="Q30" s="24">
        <f>Q31*$Q$48</f>
        <v>0.000901472274146279</v>
      </c>
    </row>
    <row r="31" ht="20.35" customHeight="1">
      <c r="A31" s="42">
        <f>$A32+7</f>
        <v>43979</v>
      </c>
      <c r="B31" s="47">
        <f>K31-K32</f>
        <v>7246</v>
      </c>
      <c r="C31" s="30">
        <f>B28/P31</f>
        <v>615092.043835067</v>
      </c>
      <c r="D31" s="30">
        <f>M31-M32</f>
        <v>144103</v>
      </c>
      <c r="E31" s="31">
        <f>C31/D31</f>
        <v>4.26841942107428</v>
      </c>
      <c r="F31" s="30">
        <v>18</v>
      </c>
      <c r="G31" s="33">
        <f>(C31/C34)^(1/3)</f>
        <v>0.898182854538046</v>
      </c>
      <c r="H31" s="33">
        <f>C31/C32</f>
        <v>0.83587742608295</v>
      </c>
      <c r="I31" s="48"/>
      <c r="J31" s="51">
        <f>$A32+7</f>
        <v>43979</v>
      </c>
      <c r="K31" s="49">
        <v>103600</v>
      </c>
      <c r="L31" s="30">
        <f>L32+C31</f>
        <v>11778279.4688481</v>
      </c>
      <c r="M31" s="30">
        <v>1765000</v>
      </c>
      <c r="N31" s="31">
        <f>L31/M31</f>
        <v>6.67324615798759</v>
      </c>
      <c r="O31" s="31"/>
      <c r="P31" s="24">
        <f>1/150+Q31</f>
        <v>0.00774843382834907</v>
      </c>
      <c r="Q31" s="24">
        <f>Q32*$Q$48</f>
        <v>0.0010817671616824</v>
      </c>
    </row>
    <row r="32" ht="20.05" customHeight="1">
      <c r="A32" s="42">
        <f>$A33+7</f>
        <v>43972</v>
      </c>
      <c r="B32" s="47">
        <f>K32-K33</f>
        <v>9354</v>
      </c>
      <c r="C32" s="30">
        <f>B29/P32</f>
        <v>735863.925309579</v>
      </c>
      <c r="D32" s="30">
        <f>M32-M33</f>
        <v>180897</v>
      </c>
      <c r="E32" s="31">
        <f>C32/D32</f>
        <v>4.06786140903154</v>
      </c>
      <c r="F32" s="30">
        <v>17</v>
      </c>
      <c r="G32" s="33">
        <f>(C32/C35)^(1/3)</f>
        <v>0.888293332055646</v>
      </c>
      <c r="H32" s="33">
        <f>C32/C33</f>
        <v>0.920743733166416</v>
      </c>
      <c r="I32" s="52"/>
      <c r="J32" s="51">
        <f>$A33+7</f>
        <v>43972</v>
      </c>
      <c r="K32" s="49">
        <v>96354</v>
      </c>
      <c r="L32" s="30">
        <f>L33+C32</f>
        <v>11163187.425013</v>
      </c>
      <c r="M32" s="30">
        <v>1620897</v>
      </c>
      <c r="N32" s="31">
        <f>L32/M32</f>
        <v>6.88704305394667</v>
      </c>
      <c r="O32" s="31"/>
      <c r="P32" s="24">
        <f>1/150+Q32</f>
        <v>0.007964787779934</v>
      </c>
      <c r="Q32" s="24">
        <f>Q33*$Q$48</f>
        <v>0.00129812111326733</v>
      </c>
    </row>
    <row r="33" ht="20.05" customHeight="1">
      <c r="A33" s="42">
        <v>43965</v>
      </c>
      <c r="B33" s="47">
        <f>K33-K34</f>
        <v>10072</v>
      </c>
      <c r="C33" s="30">
        <f>B30/P33</f>
        <v>799206.010101161</v>
      </c>
      <c r="D33" s="30">
        <f>M33-M34</f>
        <v>147377</v>
      </c>
      <c r="E33" s="31">
        <f>C33/D33</f>
        <v>5.42286795158784</v>
      </c>
      <c r="F33" s="30">
        <v>14</v>
      </c>
      <c r="G33" s="33">
        <f>(C33/C36)^(1/3)</f>
        <v>0.905556861232152</v>
      </c>
      <c r="H33" s="33">
        <f>C33/C34</f>
        <v>0.941483933772123</v>
      </c>
      <c r="I33" s="52"/>
      <c r="J33" s="51">
        <v>43965</v>
      </c>
      <c r="K33" s="49">
        <v>87000</v>
      </c>
      <c r="L33" s="30">
        <f>L34+C33</f>
        <v>10427323.4997034</v>
      </c>
      <c r="M33" s="30">
        <v>1440000</v>
      </c>
      <c r="N33" s="31">
        <f>L33/M33</f>
        <v>7.24119687479403</v>
      </c>
      <c r="O33" s="31"/>
      <c r="P33" s="24">
        <f>1/150+Q33</f>
        <v>0.008224412625685851</v>
      </c>
      <c r="Q33" s="24">
        <f>Q34*$Q$48</f>
        <v>0.00155774595901918</v>
      </c>
    </row>
    <row r="34" ht="20.05" customHeight="1">
      <c r="A34" s="42">
        <v>43958</v>
      </c>
      <c r="B34" s="47">
        <f>K34-K35</f>
        <v>13072</v>
      </c>
      <c r="C34" s="30">
        <f>B31/P34</f>
        <v>848879.074228155</v>
      </c>
      <c r="D34" s="30">
        <f>M34-M35</f>
        <v>197600</v>
      </c>
      <c r="E34" s="31">
        <f>C34/D34</f>
        <v>4.29594673192386</v>
      </c>
      <c r="F34" s="30">
        <v>10</v>
      </c>
      <c r="G34" s="33">
        <f>(C34/C37)^(1/3)</f>
        <v>0.862978011657563</v>
      </c>
      <c r="H34" s="33">
        <f>C34/C35</f>
        <v>0.80856980928263</v>
      </c>
      <c r="I34" s="52"/>
      <c r="J34" s="51">
        <v>43958</v>
      </c>
      <c r="K34" s="49">
        <v>76928</v>
      </c>
      <c r="L34" s="30">
        <f>L35+C34</f>
        <v>9628117.489602219</v>
      </c>
      <c r="M34" s="30">
        <v>1292623</v>
      </c>
      <c r="N34" s="31">
        <f>L34/M34</f>
        <v>7.44851166163856</v>
      </c>
      <c r="O34" s="31"/>
      <c r="P34" s="24">
        <f>1/150+Q34</f>
        <v>0.00853596256520805</v>
      </c>
      <c r="Q34" s="24">
        <f>Q35*$Q$48</f>
        <v>0.00186929589854138</v>
      </c>
    </row>
    <row r="35" ht="20.05" customHeight="1">
      <c r="A35" s="42">
        <v>43951</v>
      </c>
      <c r="B35" s="47">
        <f>K35-K36</f>
        <v>13620</v>
      </c>
      <c r="C35" s="30">
        <f>B32/P35</f>
        <v>1049852.54764989</v>
      </c>
      <c r="D35" s="30">
        <f>M35-M36</f>
        <v>208581</v>
      </c>
      <c r="E35" s="31">
        <f>C35/D35</f>
        <v>5.03330863141844</v>
      </c>
      <c r="F35" s="30">
        <v>8</v>
      </c>
      <c r="G35" s="33">
        <f>(C35/C38)^(1/3)</f>
        <v>0.93318912991685</v>
      </c>
      <c r="H35" s="33">
        <f>C35/C36</f>
        <v>0.975476343678093</v>
      </c>
      <c r="I35" s="52"/>
      <c r="J35" s="51">
        <v>43951</v>
      </c>
      <c r="K35" s="49">
        <v>63856</v>
      </c>
      <c r="L35" s="30">
        <f>L36+C35</f>
        <v>8779238.415374059</v>
      </c>
      <c r="M35" s="30">
        <v>1095023</v>
      </c>
      <c r="N35" s="31">
        <f>L35/M35</f>
        <v>8.01740092708013</v>
      </c>
      <c r="O35" s="31"/>
      <c r="P35" s="24">
        <f>1/150+Q35</f>
        <v>0.008909822642178719</v>
      </c>
      <c r="Q35" s="24">
        <f>Q36*$Q$48</f>
        <v>0.00224315597551205</v>
      </c>
    </row>
    <row r="36" ht="20.05" customHeight="1">
      <c r="A36" s="42">
        <v>43944</v>
      </c>
      <c r="B36" s="47">
        <f>K36-K37</f>
        <v>15619</v>
      </c>
      <c r="C36" s="30">
        <f>B33/P36</f>
        <v>1076246.03554337</v>
      </c>
      <c r="D36" s="30">
        <f>M36-M37</f>
        <v>246778</v>
      </c>
      <c r="E36" s="31">
        <f>C36/D36</f>
        <v>4.36119117402431</v>
      </c>
      <c r="F36" s="30">
        <v>6</v>
      </c>
      <c r="G36" s="33">
        <f>(C36/C39)^(1/3)</f>
        <v>0.920471606090377</v>
      </c>
      <c r="H36" s="33">
        <f>C36/C37</f>
        <v>0.814826092144693</v>
      </c>
      <c r="I36" s="52"/>
      <c r="J36" s="51">
        <v>43944</v>
      </c>
      <c r="K36" s="49">
        <v>50236</v>
      </c>
      <c r="L36" s="30">
        <f>L37+C36</f>
        <v>7729385.86772417</v>
      </c>
      <c r="M36" s="30">
        <v>886442</v>
      </c>
      <c r="N36" s="31">
        <f>L36/M36</f>
        <v>8.719561875141491</v>
      </c>
      <c r="O36" s="31"/>
      <c r="P36" s="24">
        <f>1/150+Q36</f>
        <v>0.009358454913996429</v>
      </c>
      <c r="Q36" s="24">
        <f>Q37*$Q$48</f>
        <v>0.00269178824732976</v>
      </c>
    </row>
    <row r="37" ht="20.05" customHeight="1">
      <c r="A37" s="42">
        <v>43937</v>
      </c>
      <c r="B37" s="47">
        <f>K37-K38</f>
        <v>17905</v>
      </c>
      <c r="C37" s="30">
        <f>B34/P37</f>
        <v>1320829.12650796</v>
      </c>
      <c r="D37" s="30">
        <f>M37-M38</f>
        <v>207532</v>
      </c>
      <c r="E37" s="31">
        <f>C37/D37</f>
        <v>6.36446006643775</v>
      </c>
      <c r="F37" s="30">
        <v>5</v>
      </c>
      <c r="G37" s="33">
        <f>(C37/C40)^(1/3)</f>
        <v>0.966755925323581</v>
      </c>
      <c r="H37" s="33">
        <f>C37/C38</f>
        <v>1.02241531173986</v>
      </c>
      <c r="I37" s="52"/>
      <c r="J37" s="51">
        <v>43937</v>
      </c>
      <c r="K37" s="49">
        <v>34617</v>
      </c>
      <c r="L37" s="30">
        <f>L38+C37</f>
        <v>6653139.8321808</v>
      </c>
      <c r="M37" s="30">
        <v>639664</v>
      </c>
      <c r="N37" s="31">
        <f>L37/M37</f>
        <v>10.4009915083244</v>
      </c>
      <c r="O37" s="31"/>
      <c r="P37" s="24">
        <f>1/150+Q37</f>
        <v>0.009896813855521261</v>
      </c>
      <c r="Q37" s="24">
        <f>Q38*$Q$48</f>
        <v>0.00323014718885459</v>
      </c>
    </row>
    <row r="38" ht="20.05" customHeight="1">
      <c r="A38" s="42">
        <f>$A37-7</f>
        <v>43930</v>
      </c>
      <c r="B38" s="47">
        <f>K38-K39</f>
        <v>10624</v>
      </c>
      <c r="C38" s="30">
        <f>B35/P38</f>
        <v>1291871.42577147</v>
      </c>
      <c r="D38" s="30">
        <f>M38-M39</f>
        <v>215411</v>
      </c>
      <c r="E38" s="31">
        <f>C38/D38</f>
        <v>5.99723981491878</v>
      </c>
      <c r="F38" s="30">
        <v>5</v>
      </c>
      <c r="G38" s="33">
        <f>(C38/C41)^(1/3)</f>
        <v>1.17570111405584</v>
      </c>
      <c r="H38" s="33">
        <f>C38/C39</f>
        <v>0.9361359350310851</v>
      </c>
      <c r="I38" s="52"/>
      <c r="J38" s="51">
        <f>$A37-7</f>
        <v>43930</v>
      </c>
      <c r="K38" s="49">
        <v>16712</v>
      </c>
      <c r="L38" s="30">
        <f>L39+C38</f>
        <v>5332310.70567284</v>
      </c>
      <c r="M38" s="30">
        <v>432132</v>
      </c>
      <c r="N38" s="31">
        <f>L38/M38</f>
        <v>12.3395414032584</v>
      </c>
      <c r="O38" s="31"/>
      <c r="P38" s="24">
        <f>1/150+Q38</f>
        <v>0.0105428448437634</v>
      </c>
      <c r="Q38" s="24">
        <f>Q39*$Q$48</f>
        <v>0.00387617817709678</v>
      </c>
    </row>
    <row r="39" ht="20.05" customHeight="1">
      <c r="A39" s="42">
        <f>$A38-7</f>
        <v>43923</v>
      </c>
      <c r="B39" s="47">
        <f>K39-K40</f>
        <v>4792</v>
      </c>
      <c r="C39" s="30">
        <f>B36/P39</f>
        <v>1380004.09708508</v>
      </c>
      <c r="D39" s="30">
        <f>M39-M40</f>
        <v>147527</v>
      </c>
      <c r="E39" s="31">
        <f>C39/D39</f>
        <v>9.354247677273181</v>
      </c>
      <c r="F39" s="30">
        <v>5</v>
      </c>
      <c r="G39" s="33">
        <f>(C39/C42)^(1/3)</f>
        <v>1.6178423368081</v>
      </c>
      <c r="H39" s="33">
        <f>C39/C40</f>
        <v>0.944026675137006</v>
      </c>
      <c r="I39" s="52"/>
      <c r="J39" s="51">
        <f>$A38-7</f>
        <v>43923</v>
      </c>
      <c r="K39" s="49">
        <v>6088</v>
      </c>
      <c r="L39" s="30">
        <f>L40+C39</f>
        <v>4040439.27990137</v>
      </c>
      <c r="M39" s="30">
        <v>216721</v>
      </c>
      <c r="N39" s="31">
        <f>L39/M39</f>
        <v>18.6435060741754</v>
      </c>
      <c r="O39" s="31"/>
      <c r="P39" s="24">
        <f>1/150+Q39</f>
        <v>0.0113180823397491</v>
      </c>
      <c r="Q39" s="24">
        <f>Q40*$Q$48</f>
        <v>0.00465141567308241</v>
      </c>
    </row>
    <row r="40" ht="20.05" customHeight="1">
      <c r="A40" s="42">
        <f>$A39-7</f>
        <v>43916</v>
      </c>
      <c r="B40" s="47">
        <f>K40-K41</f>
        <v>1090</v>
      </c>
      <c r="C40" s="30">
        <f>B37/P40</f>
        <v>1461827.43923502</v>
      </c>
      <c r="D40" s="30">
        <f>M40-M41</f>
        <v>59779</v>
      </c>
      <c r="E40" s="31">
        <f>C40/D40</f>
        <v>24.4538623803513</v>
      </c>
      <c r="F40" s="30">
        <v>7</v>
      </c>
      <c r="G40" s="33">
        <f>(C40/C43)^(1/3)</f>
        <v>2.79677596058103</v>
      </c>
      <c r="H40" s="33">
        <f>C40/C41</f>
        <v>1.83894019806479</v>
      </c>
      <c r="I40" s="52"/>
      <c r="J40" s="51">
        <f>$A39-7</f>
        <v>43916</v>
      </c>
      <c r="K40" s="49">
        <v>1296</v>
      </c>
      <c r="L40" s="30">
        <f>L41+C40</f>
        <v>2660435.18281629</v>
      </c>
      <c r="M40" s="30">
        <v>69194</v>
      </c>
      <c r="N40" s="31">
        <f>L40/M40</f>
        <v>38.4489288495576</v>
      </c>
      <c r="O40" s="31"/>
      <c r="P40" s="24">
        <f>1/150+Q40</f>
        <v>0.012248367707046</v>
      </c>
      <c r="Q40" s="24">
        <f>Q41*$Q$48</f>
        <v>0.00558170104037931</v>
      </c>
    </row>
    <row r="41" ht="20.05" customHeight="1">
      <c r="A41" s="42">
        <f>$A40-7</f>
        <v>43909</v>
      </c>
      <c r="B41" s="47">
        <f>K41-K42</f>
        <v>165</v>
      </c>
      <c r="C41" s="30">
        <f>B38/P41</f>
        <v>794929.297197036</v>
      </c>
      <c r="D41" s="30">
        <f>M41-M42</f>
        <v>8103</v>
      </c>
      <c r="E41" s="31">
        <f>C41/D41</f>
        <v>98.1030849311411</v>
      </c>
      <c r="F41" s="30">
        <v>12</v>
      </c>
      <c r="G41" s="33">
        <f>(C41/C44)^(1/3)</f>
        <v>4.44594013758136</v>
      </c>
      <c r="H41" s="33">
        <f>C41/C42</f>
        <v>2.43925225921352</v>
      </c>
      <c r="I41" s="52"/>
      <c r="J41" s="51">
        <f>$A40-7</f>
        <v>43909</v>
      </c>
      <c r="K41" s="49">
        <v>206</v>
      </c>
      <c r="L41" s="30">
        <f>L42+C41</f>
        <v>1198607.74358127</v>
      </c>
      <c r="M41" s="30">
        <v>9415</v>
      </c>
      <c r="N41" s="31">
        <f>L41/M41</f>
        <v>127.308310523767</v>
      </c>
      <c r="O41" s="31"/>
      <c r="P41" s="24">
        <f>1/150+Q41</f>
        <v>0.0133647105943394</v>
      </c>
      <c r="Q41" s="24">
        <f>Q42*$Q$48</f>
        <v>0.00669804392767274</v>
      </c>
    </row>
    <row r="42" ht="20.05" customHeight="1">
      <c r="A42" s="42">
        <f>$A41-7</f>
        <v>43902</v>
      </c>
      <c r="B42" s="47">
        <f>K42-K43</f>
        <v>29</v>
      </c>
      <c r="C42" s="30">
        <f>B39/P42</f>
        <v>325890.5651084</v>
      </c>
      <c r="D42" s="30">
        <f>M42-M43</f>
        <v>1153</v>
      </c>
      <c r="E42" s="31">
        <f>C42/D42</f>
        <v>282.645763320382</v>
      </c>
      <c r="F42" s="30"/>
      <c r="G42" s="33">
        <f>(C42/C45)^(1/3)</f>
        <v>6.13576981280965</v>
      </c>
      <c r="H42" s="33">
        <f>C42/C43</f>
        <v>4.87695459067232</v>
      </c>
      <c r="I42" s="52"/>
      <c r="J42" s="51">
        <f>$A41-7</f>
        <v>43902</v>
      </c>
      <c r="K42" s="49">
        <v>41</v>
      </c>
      <c r="L42" s="30">
        <f>L43+C42</f>
        <v>403678.446384229</v>
      </c>
      <c r="M42" s="30">
        <v>1312</v>
      </c>
      <c r="N42" s="31">
        <f>L42/M42</f>
        <v>307.681742670906</v>
      </c>
      <c r="O42" s="31"/>
      <c r="P42" s="24">
        <f>1/150+Q42</f>
        <v>0.0147043225949363</v>
      </c>
      <c r="Q42" s="24">
        <f>Q43*$Q$48</f>
        <v>0.00803765592826966</v>
      </c>
    </row>
    <row r="43" ht="20.05" customHeight="1">
      <c r="A43" s="42">
        <f>$A42-7</f>
        <v>43895</v>
      </c>
      <c r="B43" s="47">
        <f>K43-K44</f>
        <v>11</v>
      </c>
      <c r="C43" s="30">
        <f>B40/P43</f>
        <v>66822.5547417848</v>
      </c>
      <c r="D43" s="30">
        <f>M43-M44</f>
        <v>100</v>
      </c>
      <c r="E43" s="31">
        <f>C43/D43</f>
        <v>668.225547417848</v>
      </c>
      <c r="F43" s="30"/>
      <c r="G43" s="33">
        <f>(C43/C46)^(1/3)</f>
        <v>5.21399449393182</v>
      </c>
      <c r="H43" s="33">
        <f>C43/C44</f>
        <v>7.38729436189237</v>
      </c>
      <c r="I43" s="52"/>
      <c r="J43" s="51">
        <f>$A42-7</f>
        <v>43895</v>
      </c>
      <c r="K43" s="49">
        <v>12</v>
      </c>
      <c r="L43" s="30">
        <f>L44+C43</f>
        <v>77787.881275829393</v>
      </c>
      <c r="M43" s="30">
        <v>159</v>
      </c>
      <c r="N43" s="31">
        <f>L43/M43</f>
        <v>489.231957709619</v>
      </c>
      <c r="O43" s="31"/>
      <c r="P43" s="24">
        <f>1/150+Q43</f>
        <v>0.0163118576386666</v>
      </c>
      <c r="Q43" s="24">
        <f>Q44*$Q$48</f>
        <v>0.00964519097199998</v>
      </c>
    </row>
    <row r="44" ht="20.05" customHeight="1">
      <c r="A44" s="42">
        <f>$A43-7</f>
        <v>43888</v>
      </c>
      <c r="B44" s="47">
        <v>1</v>
      </c>
      <c r="C44" s="30">
        <f>B41/P44</f>
        <v>9045.606072839249</v>
      </c>
      <c r="D44" s="30">
        <f>M44-M45</f>
        <v>44</v>
      </c>
      <c r="E44" s="31">
        <f>C44/D44</f>
        <v>205.581956200892</v>
      </c>
      <c r="F44" s="30"/>
      <c r="G44" s="33"/>
      <c r="H44" s="33">
        <f>C44/C45</f>
        <v>6.41169800541247</v>
      </c>
      <c r="I44" s="52"/>
      <c r="J44" s="51">
        <f>$A43-7</f>
        <v>43888</v>
      </c>
      <c r="K44" s="49">
        <v>1</v>
      </c>
      <c r="L44" s="30">
        <f>L45+C44</f>
        <v>10965.3265340446</v>
      </c>
      <c r="M44" s="30">
        <v>59</v>
      </c>
      <c r="N44" s="31">
        <f>L44/M44</f>
        <v>185.852992102451</v>
      </c>
      <c r="O44" s="31"/>
      <c r="P44" s="24">
        <f>1/150+Q44</f>
        <v>0.0182409004627602</v>
      </c>
      <c r="Q44" s="24">
        <f>Q45*$Q$48</f>
        <v>0.0115742337960935</v>
      </c>
    </row>
    <row r="45" ht="20.05" customHeight="1">
      <c r="A45" s="42">
        <f>$A44-7</f>
        <v>43881</v>
      </c>
      <c r="B45" s="47"/>
      <c r="C45" s="30">
        <f>B42/P45</f>
        <v>1410.797274794190</v>
      </c>
      <c r="D45" s="30">
        <f>M45-M46</f>
        <v>1</v>
      </c>
      <c r="E45" s="31">
        <f>C45/D45</f>
        <v>1410.797274794190</v>
      </c>
      <c r="F45" s="30"/>
      <c r="G45" s="33"/>
      <c r="H45" s="33">
        <f>C45/C46</f>
        <v>2.99263148839942</v>
      </c>
      <c r="I45" s="52"/>
      <c r="J45" s="51">
        <f>$A44-7</f>
        <v>43881</v>
      </c>
      <c r="K45" s="49"/>
      <c r="L45" s="30">
        <f>L46+C45</f>
        <v>1919.720461205380</v>
      </c>
      <c r="M45" s="30">
        <v>15</v>
      </c>
      <c r="N45" s="31">
        <f>L45/M45</f>
        <v>127.981364080359</v>
      </c>
      <c r="O45" s="31"/>
      <c r="P45" s="24">
        <f>1/150+Q45</f>
        <v>0.0205557527776134</v>
      </c>
      <c r="Q45" s="24">
        <f>Q46*$Q$48</f>
        <v>0.0138890861109467</v>
      </c>
    </row>
    <row r="46" ht="20.05" customHeight="1">
      <c r="A46" s="42">
        <f>$A45-7</f>
        <v>43874</v>
      </c>
      <c r="B46" s="47"/>
      <c r="C46" s="30">
        <f>B43/P46</f>
        <v>471.423655155330</v>
      </c>
      <c r="D46" s="30">
        <f>M46-M47</f>
        <v>2</v>
      </c>
      <c r="E46" s="31"/>
      <c r="F46" s="30"/>
      <c r="G46" s="33"/>
      <c r="H46" s="33"/>
      <c r="I46" s="52"/>
      <c r="J46" s="51">
        <f>$A45-7</f>
        <v>43874</v>
      </c>
      <c r="K46" s="49"/>
      <c r="L46" s="30">
        <f>L47+C46</f>
        <v>508.923186411189</v>
      </c>
      <c r="M46" s="30">
        <v>14</v>
      </c>
      <c r="N46" s="31">
        <f>L46/M46</f>
        <v>36.3516561722278</v>
      </c>
      <c r="O46" s="31"/>
      <c r="P46" s="24">
        <f>1/150+Q46</f>
        <v>0.0233335766665667</v>
      </c>
      <c r="Q46" s="24">
        <f>Q47*$Q$48</f>
        <v>0.0166669099999</v>
      </c>
    </row>
    <row r="47" ht="20.05" customHeight="1">
      <c r="A47" s="42">
        <f>$A46-7</f>
        <v>43867</v>
      </c>
      <c r="B47" s="47"/>
      <c r="C47" s="30">
        <f>B44/P47</f>
        <v>37.4995312558593</v>
      </c>
      <c r="D47" s="30">
        <f>M47-M48</f>
        <v>7</v>
      </c>
      <c r="E47" s="31"/>
      <c r="F47" s="30"/>
      <c r="G47" s="33"/>
      <c r="H47" s="33"/>
      <c r="I47" s="52"/>
      <c r="J47" s="51">
        <f>$A46-7</f>
        <v>43867</v>
      </c>
      <c r="K47" s="49"/>
      <c r="L47" s="30">
        <f>K44/P47</f>
        <v>37.4995312558593</v>
      </c>
      <c r="M47" s="53">
        <v>12</v>
      </c>
      <c r="N47" s="31">
        <f>L47/M47</f>
        <v>3.12496093798828</v>
      </c>
      <c r="O47" s="31"/>
      <c r="P47" s="24">
        <v>0.026667</v>
      </c>
      <c r="Q47" s="24">
        <f>P47-0.0066667</f>
        <v>0.0200003</v>
      </c>
    </row>
    <row r="48" ht="20.05" customHeight="1">
      <c r="A48" s="42">
        <f>$A47-7</f>
        <v>43860</v>
      </c>
      <c r="B48" s="47"/>
      <c r="C48" s="30"/>
      <c r="D48" s="30">
        <f>M48-M49</f>
        <v>4</v>
      </c>
      <c r="E48" s="31"/>
      <c r="F48" s="30"/>
      <c r="G48" s="33"/>
      <c r="H48" s="33"/>
      <c r="I48" s="52"/>
      <c r="J48" s="51">
        <f>$A47-7</f>
        <v>43860</v>
      </c>
      <c r="K48" s="49"/>
      <c r="L48" s="30"/>
      <c r="M48" s="53">
        <v>5</v>
      </c>
      <c r="N48" s="31">
        <f>L48/M48</f>
        <v>0</v>
      </c>
      <c r="O48" s="31"/>
      <c r="P48" s="24"/>
      <c r="Q48" s="24">
        <v>0.833333</v>
      </c>
    </row>
    <row r="49" ht="20.05" customHeight="1">
      <c r="A49" s="54"/>
      <c r="B49" s="55"/>
      <c r="C49" s="53"/>
      <c r="D49" s="53"/>
      <c r="E49" s="31"/>
      <c r="F49" s="30"/>
      <c r="G49" s="33"/>
      <c r="H49" s="33"/>
      <c r="I49" s="52"/>
      <c r="J49" s="56"/>
      <c r="K49" s="57"/>
      <c r="L49" s="53"/>
      <c r="M49" s="53">
        <v>1</v>
      </c>
      <c r="N49" s="31">
        <f>L49/M49</f>
        <v>0</v>
      </c>
      <c r="O49" s="31"/>
      <c r="P49" s="24"/>
      <c r="Q49" s="24"/>
    </row>
    <row r="50" ht="20.05" customHeight="1">
      <c r="A50" s="54"/>
      <c r="B50" s="58"/>
      <c r="C50" s="53"/>
      <c r="D50" s="53"/>
      <c r="E50" s="59"/>
      <c r="F50" s="53"/>
      <c r="G50" s="60"/>
      <c r="H50" s="60"/>
      <c r="I50" s="61"/>
      <c r="J50" s="62"/>
      <c r="K50" s="63"/>
      <c r="L50" s="53"/>
      <c r="M50" s="53"/>
      <c r="N50" s="59"/>
      <c r="O50" s="59"/>
      <c r="P50" s="64"/>
      <c r="Q50" s="64"/>
    </row>
    <row r="51" ht="20.05" customHeight="1">
      <c r="A51" s="54"/>
      <c r="B51" t="s" s="65">
        <v>13</v>
      </c>
      <c r="C51" s="53"/>
      <c r="D51" s="53"/>
      <c r="E51" s="59"/>
      <c r="F51" s="53"/>
      <c r="G51" s="60"/>
      <c r="H51" s="60"/>
      <c r="I51" s="61"/>
      <c r="J51" s="66"/>
      <c r="K51" s="63"/>
      <c r="L51" s="53"/>
      <c r="M51" s="53"/>
      <c r="N51" s="59"/>
      <c r="O51" s="59"/>
      <c r="P51" s="64"/>
      <c r="Q51" s="64"/>
    </row>
  </sheetData>
  <mergeCells count="1">
    <mergeCell ref="A1:N1"/>
  </mergeCells>
  <hyperlinks>
    <hyperlink ref="B51" r:id="rId1" location="" tooltip="" display="https://www.icloud.com/numbers/0padta9WRXNKrK-CmBCgoWKpA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